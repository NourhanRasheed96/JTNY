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TNY\"/>
    </mc:Choice>
  </mc:AlternateContent>
  <xr:revisionPtr revIDLastSave="0" documentId="8_{38DA09C8-3CB7-4682-9C6F-354496AC8F19}" xr6:coauthVersionLast="47" xr6:coauthVersionMax="47" xr10:uidLastSave="{00000000-0000-0000-0000-000000000000}"/>
  <bookViews>
    <workbookView xWindow="-108" yWindow="-108" windowWidth="23256" windowHeight="12456" tabRatio="500" activeTab="3" xr2:uid="{00000000-000D-0000-FFFF-FFFF00000000}"/>
  </bookViews>
  <sheets>
    <sheet name="Legend" sheetId="3" r:id="rId1"/>
    <sheet name="Old" sheetId="11" r:id="rId2"/>
    <sheet name="WP" sheetId="9" r:id="rId3"/>
    <sheet name="Planning" sheetId="10" r:id="rId4"/>
    <sheet name="Summary" sheetId="8" r:id="rId5"/>
    <sheet name="Security_Analysis" sheetId="1" r:id="rId6"/>
    <sheet name="Performance_Summary" sheetId="4" r:id="rId7"/>
    <sheet name="Performance_Analysis" sheetId="2" r:id="rId8"/>
    <sheet name="UI-UX_Analysis" sheetId="5" r:id="rId9"/>
    <sheet name="Bugs&amp;CodeQuality_Analysis" sheetId="6" r:id="rId10"/>
    <sheet name="AWS_Audit" sheetId="7" r:id="rId11"/>
  </sheets>
  <definedNames>
    <definedName name="_xlnm._FilterDatabase" localSheetId="9" hidden="1">'Bugs&amp;CodeQuality_Analysis'!$A$2:$S$135</definedName>
    <definedName name="_xlnm._FilterDatabase" localSheetId="7" hidden="1">Performance_Analysis!$A$2:$S$2</definedName>
    <definedName name="_xlnm._FilterDatabase" localSheetId="5" hidden="1">Security_Analysis!$A$2:$T$2</definedName>
    <definedName name="_xlnm._FilterDatabase" localSheetId="8" hidden="1">'UI-UX_Analysis'!$A$2:$T$2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 i="9" l="1"/>
  <c r="B5" i="9"/>
  <c r="B6" i="9"/>
  <c r="B7" i="9"/>
  <c r="B8" i="9"/>
  <c r="B9" i="9"/>
  <c r="F34" i="8"/>
  <c r="F33" i="8"/>
  <c r="E34" i="8"/>
  <c r="E33" i="8"/>
  <c r="D34" i="8"/>
  <c r="D33" i="8"/>
  <c r="C34" i="8"/>
  <c r="G34" i="8" s="1"/>
  <c r="C33" i="8"/>
  <c r="F24" i="8"/>
  <c r="F23" i="8"/>
  <c r="E24" i="8"/>
  <c r="E23" i="8"/>
  <c r="D24" i="8"/>
  <c r="D23" i="8"/>
  <c r="C24" i="8"/>
  <c r="G24" i="8" s="1"/>
  <c r="C23" i="8"/>
  <c r="F32" i="8"/>
  <c r="E32" i="8"/>
  <c r="D32" i="8"/>
  <c r="G33" i="8"/>
  <c r="C32" i="8"/>
  <c r="G32" i="8" s="1"/>
  <c r="F31" i="8"/>
  <c r="E31" i="8"/>
  <c r="D31" i="8"/>
  <c r="C31" i="8"/>
  <c r="F22" i="8"/>
  <c r="E22" i="8"/>
  <c r="D22" i="8"/>
  <c r="C22" i="8"/>
  <c r="F21" i="8"/>
  <c r="E21" i="8"/>
  <c r="D21" i="8"/>
  <c r="G22" i="8"/>
  <c r="C20" i="8"/>
  <c r="F30" i="8"/>
  <c r="E30" i="8"/>
  <c r="D30" i="8"/>
  <c r="G31" i="8"/>
  <c r="C30" i="8"/>
  <c r="F20" i="8"/>
  <c r="E20" i="8"/>
  <c r="D20" i="8"/>
  <c r="G20" i="8" s="1"/>
  <c r="C21" i="8"/>
  <c r="F39" i="8"/>
  <c r="E39" i="8"/>
  <c r="D39" i="8"/>
  <c r="C39" i="8"/>
  <c r="G39" i="8" s="1"/>
  <c r="C29" i="8"/>
  <c r="F29" i="8"/>
  <c r="E29" i="8"/>
  <c r="D29" i="8"/>
  <c r="C19" i="8"/>
  <c r="C25" i="8" s="1"/>
  <c r="G29" i="8"/>
  <c r="G30" i="8"/>
  <c r="C35" i="8"/>
  <c r="D35" i="8"/>
  <c r="E35" i="8"/>
  <c r="F35" i="8"/>
  <c r="G35" i="8"/>
  <c r="F19" i="8"/>
  <c r="F25" i="8" s="1"/>
  <c r="E19" i="8"/>
  <c r="E25" i="8" s="1"/>
  <c r="D19" i="8"/>
  <c r="D25" i="8" s="1"/>
  <c r="G21" i="8"/>
  <c r="G25" i="8"/>
  <c r="F14" i="8"/>
  <c r="F13" i="8"/>
  <c r="F12" i="8"/>
  <c r="F11" i="8"/>
  <c r="F10" i="8"/>
  <c r="F9" i="8"/>
  <c r="E14" i="8"/>
  <c r="E13" i="8"/>
  <c r="E12" i="8"/>
  <c r="E11" i="8"/>
  <c r="E10" i="8"/>
  <c r="E9" i="8"/>
  <c r="D14" i="8"/>
  <c r="D13" i="8"/>
  <c r="D12" i="8"/>
  <c r="D11" i="8"/>
  <c r="D10" i="8"/>
  <c r="D9" i="8"/>
  <c r="F8" i="8"/>
  <c r="E8" i="8"/>
  <c r="D8" i="8"/>
  <c r="C8" i="8"/>
  <c r="G8" i="8" s="1"/>
  <c r="F7" i="8"/>
  <c r="F15" i="8" s="1"/>
  <c r="E7" i="8"/>
  <c r="E15" i="8" s="1"/>
  <c r="D7" i="8"/>
  <c r="D15" i="8" s="1"/>
  <c r="C14" i="8"/>
  <c r="G14" i="8" s="1"/>
  <c r="C13" i="8"/>
  <c r="G13" i="8" s="1"/>
  <c r="C12" i="8"/>
  <c r="G12" i="8" s="1"/>
  <c r="C11" i="8"/>
  <c r="G11" i="8" s="1"/>
  <c r="C10" i="8"/>
  <c r="G10" i="8" s="1"/>
  <c r="C9" i="8"/>
  <c r="G9" i="8" s="1"/>
  <c r="C7" i="8"/>
  <c r="B3" i="4"/>
  <c r="E3" i="8"/>
  <c r="D3" i="8"/>
  <c r="C3" i="8"/>
  <c r="B3" i="8"/>
  <c r="E10" i="4"/>
  <c r="E9" i="4"/>
  <c r="E8" i="4"/>
  <c r="E7" i="4"/>
  <c r="E6" i="4"/>
  <c r="E5" i="4"/>
  <c r="E4" i="4"/>
  <c r="E3" i="4"/>
  <c r="D10" i="4"/>
  <c r="D9" i="4"/>
  <c r="D8" i="4"/>
  <c r="D7" i="4"/>
  <c r="D6" i="4"/>
  <c r="D5" i="4"/>
  <c r="D4" i="4"/>
  <c r="D3" i="4"/>
  <c r="C10" i="4"/>
  <c r="C9" i="4"/>
  <c r="C8" i="4"/>
  <c r="C7" i="4"/>
  <c r="C6" i="4"/>
  <c r="C5" i="4"/>
  <c r="C4" i="4"/>
  <c r="C3" i="4"/>
  <c r="B10" i="4"/>
  <c r="F10" i="4" s="1"/>
  <c r="B9" i="4"/>
  <c r="F9" i="4" s="1"/>
  <c r="B8" i="4"/>
  <c r="F8" i="4" s="1"/>
  <c r="B7" i="4"/>
  <c r="F7" i="4" s="1"/>
  <c r="B6" i="4"/>
  <c r="F6" i="4" s="1"/>
  <c r="B5" i="4"/>
  <c r="F5" i="4" s="1"/>
  <c r="B4" i="4"/>
  <c r="F4" i="4" s="1"/>
  <c r="F3" i="4"/>
  <c r="F3" i="8" l="1"/>
  <c r="G19" i="8"/>
  <c r="G41" i="8"/>
  <c r="G23" i="8"/>
  <c r="C15" i="8"/>
  <c r="G15" i="8" s="1"/>
  <c r="G7" i="8"/>
  <c r="E11" i="4"/>
  <c r="D11" i="4"/>
  <c r="C11" i="4"/>
  <c r="B11" i="4"/>
  <c r="F11" i="4" l="1"/>
</calcChain>
</file>

<file path=xl/sharedStrings.xml><?xml version="1.0" encoding="utf-8"?>
<sst xmlns="http://schemas.openxmlformats.org/spreadsheetml/2006/main" count="5093" uniqueCount="3462">
  <si>
    <t>ID Prefix</t>
  </si>
  <si>
    <t>Category</t>
  </si>
  <si>
    <t>SEC</t>
  </si>
  <si>
    <t>Security</t>
  </si>
  <si>
    <t>PERF</t>
  </si>
  <si>
    <t>Performance</t>
  </si>
  <si>
    <t>DB</t>
  </si>
  <si>
    <t>Dashboard Backend</t>
  </si>
  <si>
    <t>MB</t>
  </si>
  <si>
    <t>Mobile Backend</t>
  </si>
  <si>
    <t>DF</t>
  </si>
  <si>
    <t>Dashboard Frontend</t>
  </si>
  <si>
    <t>MP</t>
  </si>
  <si>
    <t>Mobile Passenger</t>
  </si>
  <si>
    <t>MD</t>
  </si>
  <si>
    <t>Mobile Driver</t>
  </si>
  <si>
    <t>SA</t>
  </si>
  <si>
    <t>Sharapp</t>
  </si>
  <si>
    <t>CR</t>
  </si>
  <si>
    <t>Cross Repos</t>
  </si>
  <si>
    <t>NTH</t>
  </si>
  <si>
    <t>Nice to Have</t>
  </si>
  <si>
    <t>#</t>
  </si>
  <si>
    <t>Milestone</t>
  </si>
  <si>
    <t>Scope</t>
  </si>
  <si>
    <t>Description</t>
  </si>
  <si>
    <t>Estimation</t>
  </si>
  <si>
    <t>Security Fixes</t>
  </si>
  <si>
    <t>Fix Backend Security Issues
Move frontend/app security access to backend</t>
  </si>
  <si>
    <t>Work Package</t>
  </si>
  <si>
    <t>Issue Count</t>
  </si>
  <si>
    <t>Duration</t>
  </si>
  <si>
    <t>Sub-Work Packages / Deliverables</t>
  </si>
  <si>
    <t>AWS Fixes</t>
  </si>
  <si>
    <t>AWS</t>
  </si>
  <si>
    <t>Reduce AWS Spend</t>
  </si>
  <si>
    <t>Critical Security &amp; Infrastructure</t>
  </si>
  <si>
    <r>
      <rPr>
        <b/>
        <sz val="11"/>
        <color rgb="FF000000"/>
        <rFont val="Aptos Narrow"/>
        <family val="2"/>
      </rPr>
      <t>1.1</t>
    </r>
    <r>
      <rPr>
        <sz val="11"/>
        <color rgb="FF000000"/>
        <rFont val="Aptos Narrow"/>
        <family val="2"/>
      </rPr>
      <t xml:space="preserve">- Fix all hardcoded credentials and clean Git history
</t>
    </r>
    <r>
      <rPr>
        <b/>
        <sz val="11"/>
        <color rgb="FF000000"/>
        <rFont val="Aptos Narrow"/>
        <family val="2"/>
      </rPr>
      <t>1.2</t>
    </r>
    <r>
      <rPr>
        <sz val="11"/>
        <color rgb="FF000000"/>
        <rFont val="Aptos Narrow"/>
        <family val="2"/>
      </rPr>
      <t xml:space="preserve">- Rotate all API keys and secrets
</t>
    </r>
    <r>
      <rPr>
        <b/>
        <sz val="11"/>
        <color rgb="FF000000"/>
        <rFont val="Aptos Narrow"/>
        <family val="2"/>
      </rPr>
      <t>1.3</t>
    </r>
    <r>
      <rPr>
        <sz val="11"/>
        <color rgb="FF000000"/>
        <rFont val="Aptos Narrow"/>
        <family val="2"/>
      </rPr>
      <t xml:space="preserve">- Configure CORS properly
</t>
    </r>
    <r>
      <rPr>
        <b/>
        <sz val="11"/>
        <color rgb="FF000000"/>
        <rFont val="Aptos Narrow"/>
        <family val="2"/>
      </rPr>
      <t>1.4</t>
    </r>
    <r>
      <rPr>
        <sz val="11"/>
        <color rgb="FF000000"/>
        <rFont val="Aptos Narrow"/>
        <family val="2"/>
      </rPr>
      <t xml:space="preserve">- Implement basic rate limiting
</t>
    </r>
    <r>
      <rPr>
        <b/>
        <sz val="11"/>
        <color rgb="FF000000"/>
        <rFont val="Aptos Narrow"/>
        <family val="2"/>
      </rPr>
      <t>1.5</t>
    </r>
    <r>
      <rPr>
        <sz val="11"/>
        <color rgb="FF000000"/>
        <rFont val="Aptos Narrow"/>
        <family val="2"/>
      </rPr>
      <t>- Perform AWS security hardening (IAM policies, security groups)</t>
    </r>
  </si>
  <si>
    <t>Critical performance
Critical Bugs</t>
  </si>
  <si>
    <t>Dashboard
Mobile backend
Mobile Driver
Sharapp</t>
  </si>
  <si>
    <t>Improve performance
fix customer facing issues
Add logging</t>
  </si>
  <si>
    <t>Framework Upgrades &amp; Core Performance</t>
  </si>
  <si>
    <r>
      <rPr>
        <b/>
        <sz val="11"/>
        <color rgb="FF000000"/>
        <rFont val="Aptos Narrow"/>
        <family val="2"/>
      </rPr>
      <t>2.1</t>
    </r>
    <r>
      <rPr>
        <sz val="11"/>
        <color rgb="FF000000"/>
        <rFont val="Aptos Narrow"/>
        <family val="2"/>
      </rPr>
      <t xml:space="preserve">- Upgrade Django framework (both backends)
</t>
    </r>
    <r>
      <rPr>
        <b/>
        <sz val="11"/>
        <color rgb="FF000000"/>
        <rFont val="Aptos Narrow"/>
        <family val="2"/>
      </rPr>
      <t>2.2</t>
    </r>
    <r>
      <rPr>
        <sz val="11"/>
        <color rgb="FF000000"/>
        <rFont val="Aptos Narrow"/>
        <family val="2"/>
      </rPr>
      <t xml:space="preserve">- Fix critical N+1 queries
</t>
    </r>
    <r>
      <rPr>
        <b/>
        <sz val="11"/>
        <color rgb="FF000000"/>
        <rFont val="Aptos Narrow"/>
        <family val="2"/>
      </rPr>
      <t>2.3</t>
    </r>
    <r>
      <rPr>
        <sz val="11"/>
        <color rgb="FF000000"/>
        <rFont val="Aptos Narrow"/>
        <family val="2"/>
      </rPr>
      <t xml:space="preserve">- Optimize database performance and indexing
</t>
    </r>
    <r>
      <rPr>
        <b/>
        <sz val="11"/>
        <color rgb="FF000000"/>
        <rFont val="Aptos Narrow"/>
        <family val="2"/>
      </rPr>
      <t>2.4</t>
    </r>
    <r>
      <rPr>
        <sz val="11"/>
        <color rgb="FF000000"/>
        <rFont val="Aptos Narrow"/>
        <family val="2"/>
      </rPr>
      <t xml:space="preserve">- Conduct database migrations
</t>
    </r>
    <r>
      <rPr>
        <b/>
        <sz val="11"/>
        <color rgb="FF000000"/>
        <rFont val="Aptos Narrow"/>
        <family val="2"/>
      </rPr>
      <t>2.5</t>
    </r>
    <r>
      <rPr>
        <sz val="11"/>
        <color rgb="FF000000"/>
        <rFont val="Aptos Narrow"/>
        <family val="2"/>
      </rPr>
      <t>- Implement pagination improvements</t>
    </r>
  </si>
  <si>
    <t>High Performance
High Bugs</t>
  </si>
  <si>
    <t>Authentication &amp; Token Management</t>
  </si>
  <si>
    <r>
      <rPr>
        <b/>
        <sz val="11"/>
        <color rgb="FF000000"/>
        <rFont val="Aptos Narrow"/>
        <family val="2"/>
      </rPr>
      <t>3.1</t>
    </r>
    <r>
      <rPr>
        <sz val="11"/>
        <color rgb="FF000000"/>
        <rFont val="Aptos Narrow"/>
        <family val="2"/>
      </rPr>
      <t xml:space="preserve">- Implement token lifecycle management (access + refresh)
</t>
    </r>
    <r>
      <rPr>
        <b/>
        <sz val="11"/>
        <color rgb="FF000000"/>
        <rFont val="Aptos Narrow"/>
        <family val="2"/>
      </rPr>
      <t>3.2</t>
    </r>
    <r>
      <rPr>
        <sz val="11"/>
        <color rgb="FF000000"/>
        <rFont val="Aptos Narrow"/>
        <family val="2"/>
      </rPr>
      <t xml:space="preserve">- Use httpOnly cookies for session security
</t>
    </r>
    <r>
      <rPr>
        <b/>
        <sz val="11"/>
        <color rgb="FF000000"/>
        <rFont val="Aptos Narrow"/>
        <family val="2"/>
      </rPr>
      <t>3.3</t>
    </r>
    <r>
      <rPr>
        <sz val="11"/>
        <color rgb="FF000000"/>
        <rFont val="Aptos Narrow"/>
        <family val="2"/>
      </rPr>
      <t xml:space="preserve">- Add CSRF protection
</t>
    </r>
    <r>
      <rPr>
        <b/>
        <sz val="11"/>
        <color rgb="FF000000"/>
        <rFont val="Aptos Narrow"/>
        <family val="2"/>
      </rPr>
      <t>3.4</t>
    </r>
    <r>
      <rPr>
        <sz val="11"/>
        <color rgb="FF000000"/>
        <rFont val="Aptos Narrow"/>
        <family val="2"/>
      </rPr>
      <t xml:space="preserve">- Integrate multi-factor authentication (MFA)
</t>
    </r>
    <r>
      <rPr>
        <b/>
        <sz val="11"/>
        <color rgb="FF000000"/>
        <rFont val="Aptos Narrow"/>
        <family val="2"/>
      </rPr>
      <t>3.5</t>
    </r>
    <r>
      <rPr>
        <sz val="11"/>
        <color rgb="FF000000"/>
        <rFont val="Aptos Narrow"/>
        <family val="2"/>
      </rPr>
      <t>- Test and validate all authentication flows</t>
    </r>
  </si>
  <si>
    <t>Critical/High UI/UX</t>
  </si>
  <si>
    <t>UI/UX
Visual Design</t>
  </si>
  <si>
    <t>Improve user experience with regards to views</t>
  </si>
  <si>
    <t>Performance Optimization</t>
  </si>
  <si>
    <r>
      <rPr>
        <b/>
        <sz val="11"/>
        <color rgb="FF000000"/>
        <rFont val="Aptos Narrow"/>
        <family val="2"/>
      </rPr>
      <t>4.1</t>
    </r>
    <r>
      <rPr>
        <sz val="11"/>
        <color rgb="FF000000"/>
        <rFont val="Aptos Narrow"/>
        <family val="2"/>
      </rPr>
      <t xml:space="preserve">- Resolve remaining N+1 queries
</t>
    </r>
    <r>
      <rPr>
        <b/>
        <sz val="11"/>
        <color rgb="FF000000"/>
        <rFont val="Aptos Narrow"/>
        <family val="2"/>
      </rPr>
      <t>4.2</t>
    </r>
    <r>
      <rPr>
        <sz val="11"/>
        <color rgb="FF000000"/>
        <rFont val="Aptos Narrow"/>
        <family val="2"/>
      </rPr>
      <t xml:space="preserve">- Optimize aggregation pipelines
</t>
    </r>
    <r>
      <rPr>
        <b/>
        <sz val="11"/>
        <color rgb="FF000000"/>
        <rFont val="Aptos Narrow"/>
        <family val="2"/>
      </rPr>
      <t>4.3</t>
    </r>
    <r>
      <rPr>
        <sz val="11"/>
        <color rgb="FF000000"/>
        <rFont val="Aptos Narrow"/>
        <family val="2"/>
      </rPr>
      <t xml:space="preserve">- Add caching (Redis / in-memory)
</t>
    </r>
    <r>
      <rPr>
        <b/>
        <sz val="11"/>
        <color rgb="FF000000"/>
        <rFont val="Aptos Narrow"/>
        <family val="2"/>
      </rPr>
      <t>4.4</t>
    </r>
    <r>
      <rPr>
        <sz val="11"/>
        <color rgb="FF000000"/>
        <rFont val="Aptos Narrow"/>
        <family val="2"/>
      </rPr>
      <t xml:space="preserve">- Conduct load testing and profiling
</t>
    </r>
    <r>
      <rPr>
        <b/>
        <sz val="11"/>
        <color rgb="FF000000"/>
        <rFont val="Aptos Narrow"/>
        <family val="2"/>
      </rPr>
      <t>4.5</t>
    </r>
    <r>
      <rPr>
        <sz val="11"/>
        <color rgb="FF000000"/>
        <rFont val="Aptos Narrow"/>
        <family val="2"/>
      </rPr>
      <t>- Implement performance monitoring dashboards</t>
    </r>
  </si>
  <si>
    <t>Medium/Low Performance
Medium/Low bugs</t>
  </si>
  <si>
    <t>UI/UX &amp; Mobile</t>
  </si>
  <si>
    <r>
      <rPr>
        <b/>
        <sz val="11"/>
        <color rgb="FF000000"/>
        <rFont val="Aptos Narrow"/>
        <family val="2"/>
      </rPr>
      <t>5.1</t>
    </r>
    <r>
      <rPr>
        <sz val="11"/>
        <color rgb="FF000000"/>
        <rFont val="Aptos Narrow"/>
        <family val="2"/>
      </rPr>
      <t xml:space="preserve">- Implement UI/UX improvements (Sharapp, dashboard, mobile apps)
</t>
    </r>
    <r>
      <rPr>
        <b/>
        <sz val="11"/>
        <color rgb="FF000000"/>
        <rFont val="Aptos Narrow"/>
        <family val="2"/>
      </rPr>
      <t>5.2</t>
    </r>
    <r>
      <rPr>
        <sz val="11"/>
        <color rgb="FF000000"/>
        <rFont val="Aptos Narrow"/>
        <family val="2"/>
      </rPr>
      <t xml:space="preserve">- Fix mobile app bugs
</t>
    </r>
    <r>
      <rPr>
        <b/>
        <sz val="11"/>
        <color rgb="FF000000"/>
        <rFont val="Aptos Narrow"/>
        <family val="2"/>
      </rPr>
      <t>5.3</t>
    </r>
    <r>
      <rPr>
        <sz val="11"/>
        <color rgb="FF000000"/>
        <rFont val="Aptos Narrow"/>
        <family val="2"/>
      </rPr>
      <t xml:space="preserve">- Ensure responsive design
</t>
    </r>
    <r>
      <rPr>
        <b/>
        <sz val="11"/>
        <color rgb="FF000000"/>
        <rFont val="Aptos Narrow"/>
        <family val="2"/>
      </rPr>
      <t>5.4</t>
    </r>
    <r>
      <rPr>
        <sz val="11"/>
        <color rgb="FF000000"/>
        <rFont val="Aptos Narrow"/>
        <family val="2"/>
      </rPr>
      <t>- Perform cross-browser and device testing</t>
    </r>
  </si>
  <si>
    <t>Medium/Low UI/UX</t>
  </si>
  <si>
    <t>Finalize UI/U improvements</t>
  </si>
  <si>
    <t>Bugs, Code Quality &amp; Finalizing AWS</t>
  </si>
  <si>
    <r>
      <rPr>
        <b/>
        <sz val="11"/>
        <color rgb="FF000000"/>
        <rFont val="Aptos Narrow"/>
        <family val="2"/>
      </rPr>
      <t>6.1</t>
    </r>
    <r>
      <rPr>
        <sz val="11"/>
        <color rgb="FF000000"/>
        <rFont val="Aptos Narrow"/>
        <family val="2"/>
      </rPr>
      <t xml:space="preserve">- Perform code quality review and refactoring
</t>
    </r>
    <r>
      <rPr>
        <b/>
        <sz val="11"/>
        <color rgb="FF000000"/>
        <rFont val="Aptos Narrow"/>
        <family val="2"/>
      </rPr>
      <t>6.2</t>
    </r>
    <r>
      <rPr>
        <sz val="11"/>
        <color rgb="FF000000"/>
        <rFont val="Aptos Narrow"/>
        <family val="2"/>
      </rPr>
      <t xml:space="preserve">- Fix remaining bugs
</t>
    </r>
    <r>
      <rPr>
        <b/>
        <sz val="11"/>
        <color rgb="FF000000"/>
        <rFont val="Aptos Narrow"/>
        <family val="2"/>
      </rPr>
      <t>6.3</t>
    </r>
    <r>
      <rPr>
        <sz val="11"/>
        <color rgb="FF000000"/>
        <rFont val="Aptos Narrow"/>
        <family val="2"/>
      </rPr>
      <t xml:space="preserve">- Optimize AWS resources (EC2, EBS, RDS)
</t>
    </r>
    <r>
      <rPr>
        <b/>
        <sz val="11"/>
        <color rgb="FF000000"/>
        <rFont val="Aptos Narrow"/>
        <family val="2"/>
      </rPr>
      <t>6.4</t>
    </r>
    <r>
      <rPr>
        <sz val="11"/>
        <color rgb="FF000000"/>
        <rFont val="Aptos Narrow"/>
        <family val="2"/>
      </rPr>
      <t xml:space="preserve">- Conduct final system testing and validation
</t>
    </r>
    <r>
      <rPr>
        <b/>
        <sz val="11"/>
        <color rgb="FF000000"/>
        <rFont val="Aptos Narrow"/>
        <family val="2"/>
      </rPr>
      <t>6.5</t>
    </r>
    <r>
      <rPr>
        <sz val="11"/>
        <color rgb="FF000000"/>
        <rFont val="Aptos Narrow"/>
        <family val="2"/>
      </rPr>
      <t>- Prepare documentation</t>
    </r>
  </si>
  <si>
    <t>Functionality</t>
  </si>
  <si>
    <t>Sub-WP</t>
  </si>
  <si>
    <t>ID</t>
  </si>
  <si>
    <t>Issue</t>
  </si>
  <si>
    <t>Estimate (WD)</t>
  </si>
  <si>
    <t>WP1: Critical Security &amp; Infrastructure</t>
  </si>
  <si>
    <t>SEC-001</t>
  </si>
  <si>
    <t>Hardcoded MongoDB Credentials</t>
  </si>
  <si>
    <t>SEC-004</t>
  </si>
  <si>
    <t>Google Maps API Key Hardcoded</t>
  </si>
  <si>
    <t>SEC-005</t>
  </si>
  <si>
    <t>Permissive CORS Configuration</t>
  </si>
  <si>
    <t>SEC-017</t>
  </si>
  <si>
    <t>No Secrets Management Solution</t>
  </si>
  <si>
    <t>SEC-023</t>
  </si>
  <si>
    <t>Weak Password Policy</t>
  </si>
  <si>
    <t>AWS-010</t>
  </si>
  <si>
    <t>Security risk: port 22 (SSH) is open to the world on most EC2 instances.</t>
  </si>
  <si>
    <t>AWS-019</t>
  </si>
  <si>
    <t>CloudTrail management events disabled</t>
  </si>
  <si>
    <t>AWS-029</t>
  </si>
  <si>
    <t>Application Load Balancer Security Group Misconfiguration</t>
  </si>
  <si>
    <t>SEC-002</t>
  </si>
  <si>
    <t>Exposed AWS Access Keys</t>
  </si>
  <si>
    <t>SEC-011</t>
  </si>
  <si>
    <t>Missing Security Headers</t>
  </si>
  <si>
    <t>SEC-012</t>
  </si>
  <si>
    <t>Insufficient Input Validation</t>
  </si>
  <si>
    <t>SEC-014</t>
  </si>
  <si>
    <t>Debug Mode Enabled</t>
  </si>
  <si>
    <t>SEC-015</t>
  </si>
  <si>
    <t>Insufficient Logging and Monitoring</t>
  </si>
  <si>
    <t>SEC-016</t>
  </si>
  <si>
    <t>No Web Application Firewall</t>
  </si>
  <si>
    <t>AWS-022</t>
  </si>
  <si>
    <t>MFA and key rotation gaps in IAM users</t>
  </si>
  <si>
    <t>SEC-018</t>
  </si>
  <si>
    <t>No API Versioning</t>
  </si>
  <si>
    <t>SEC-019</t>
  </si>
  <si>
    <t>No SSL Certificate Pinning</t>
  </si>
  <si>
    <t>SEC-020</t>
  </si>
  <si>
    <t>No Root/Jailbreak Detection</t>
  </si>
  <si>
    <t>SEC-021</t>
  </si>
  <si>
    <t>Insufficient File Upload Validation</t>
  </si>
  <si>
    <t>SEC-025</t>
  </si>
  <si>
    <t>No Database Query Optimization</t>
  </si>
  <si>
    <t>SEC-026</t>
  </si>
  <si>
    <t>No Content Security for Stored Files</t>
  </si>
  <si>
    <t>AWS-026</t>
  </si>
  <si>
    <t>Application Load Balancers serving HTTP health checks</t>
  </si>
  <si>
    <t>SEC-006</t>
  </si>
  <si>
    <t>Ineffective Rate Limiting</t>
  </si>
  <si>
    <t>SEC-024</t>
  </si>
  <si>
    <t>No Request Size Limits</t>
  </si>
  <si>
    <t>AWS-020</t>
  </si>
  <si>
    <t>External resource sharing via IAM Access Analyzer findings</t>
  </si>
  <si>
    <t>AWS-028</t>
  </si>
  <si>
    <t>Security Groups – Unrestricted Access</t>
  </si>
  <si>
    <t>WP2: Framework Upgrades &amp; Core Performance</t>
  </si>
  <si>
    <t>SEC-010</t>
  </si>
  <si>
    <t>Outdated Django Framework</t>
  </si>
  <si>
    <t>PERF-DB-002</t>
  </si>
  <si>
    <t>Missing Database Connection Pooling</t>
  </si>
  <si>
    <t>PERF-DB-003</t>
  </si>
  <si>
    <t>N+1 Query in Account Serializer</t>
  </si>
  <si>
    <t>PERF-DB-010</t>
  </si>
  <si>
    <t>Missing Query Optimization (only/defer)</t>
  </si>
  <si>
    <t>PERF-DB-011</t>
  </si>
  <si>
    <t>Inefficient Nested Loops Over QuerySets</t>
  </si>
  <si>
    <t>PERF-MB-003</t>
  </si>
  <si>
    <t>N+1 in Driver Transactions</t>
  </si>
  <si>
    <t>PERF-DB-013</t>
  </si>
  <si>
    <t>Missing Indexes on Frequently Queried Fields</t>
  </si>
  <si>
    <t>PERF-MB-002</t>
  </si>
  <si>
    <t>Missing Database Indexes</t>
  </si>
  <si>
    <t>PERF-DB-004</t>
  </si>
  <si>
    <t>Massive Aggregation Without Pagination</t>
  </si>
  <si>
    <t>PERF-DB-005</t>
  </si>
  <si>
    <t>Inefficient Driver Pagination</t>
  </si>
  <si>
    <t>PERF-MP-011</t>
  </si>
  <si>
    <t>No Pagination in Trip History</t>
  </si>
  <si>
    <t xml:space="preserve">JTNY Security Audit - Complete Analysis					</t>
  </si>
  <si>
    <t>Critical</t>
  </si>
  <si>
    <t>High</t>
  </si>
  <si>
    <t>Medium</t>
  </si>
  <si>
    <t>Low</t>
  </si>
  <si>
    <t>Total</t>
  </si>
  <si>
    <t>JTNY Performance Audit - Complete Analysis</t>
  </si>
  <si>
    <t>Repository</t>
  </si>
  <si>
    <t>TOTAL</t>
  </si>
  <si>
    <t>JTNY UI/UX Audit - Complete Analysis</t>
  </si>
  <si>
    <t>JTNY Bugs &amp; Code Quality Audit - Complete Analysis</t>
  </si>
  <si>
    <t>JTNY AWS Audit - Complete Analysis</t>
  </si>
  <si>
    <t>Total findings</t>
  </si>
  <si>
    <t>SEITech</t>
  </si>
  <si>
    <t>JTNY</t>
  </si>
  <si>
    <t>Severity</t>
  </si>
  <si>
    <t>Location</t>
  </si>
  <si>
    <t>Impact</t>
  </si>
  <si>
    <t>OWASP</t>
  </si>
  <si>
    <t>CVE/CWE</t>
  </si>
  <si>
    <t>Log Date</t>
  </si>
  <si>
    <t>Investigation Result / Team Reply</t>
  </si>
  <si>
    <t>Status</t>
  </si>
  <si>
    <t>Responsible</t>
  </si>
  <si>
    <t>Date of Reply</t>
  </si>
  <si>
    <t>Feedback</t>
  </si>
  <si>
    <t>Actions Required</t>
  </si>
  <si>
    <t>Customer Feedback</t>
  </si>
  <si>
    <t>CRITICAL</t>
  </si>
  <si>
    <t>Credentials</t>
  </si>
  <si>
    <t>dashboard-backend/api/settings/dev.py:26-35; mobile-backend/api/settings/dev.py</t>
  </si>
  <si>
    <t>Database credentials exposed in plaintext in source code, allowing anyone with repo access to compromise the entire database</t>
  </si>
  <si>
    <t>Complete database compromise</t>
  </si>
  <si>
    <t>A07:2021 - Identification and Authentication Failures</t>
  </si>
  <si>
    <t>CWE-798</t>
  </si>
  <si>
    <t>After investigation, this file (dev.py) is used only for local development with a local MongoDB instance. The staging and production servers use separate configuration files (stage.env and pro.env) with environment variables — no credentials are hardcoded there. Therefore, this finding does not pose a risk to the live environment.</t>
  </si>
  <si>
    <t>Not an Issue / Safe</t>
  </si>
  <si>
    <t>Backend Team</t>
  </si>
  <si>
    <t>Still a risk. Credentials in git history are permanent. Anyone with repo access (current/former employees, contractors, stolen credentials) can extract these. If dev MongoDB is network-accessible, it's compromised.</t>
  </si>
  <si>
    <t>*Remove credentials from git history using BFG Repo-Cleaner
*Rotate MongoDB credentials immediately (delete user 'tharwat', create new)
*Migrate to environment variables in .env files
*Add .env files to .gitignore
*Implement pre-commit hooks to prevent future credential commits</t>
  </si>
  <si>
    <t>5.11.2025, by Mahmoud Biltagy: Ammar Yasser will check if any credentials are still on repo and remove it</t>
  </si>
  <si>
    <t>mobile-backend/api/settings/base.py:137-140</t>
  </si>
  <si>
    <t>AWS IAM credentials hardcoded, enabling unauthorized access to AWS services and potential massive billing charges</t>
  </si>
  <si>
    <t>AWS account compromise, financial loss</t>
  </si>
  <si>
    <t>A05:2021 - Security Misconfiguration</t>
  </si>
  <si>
    <t>After investigation, we confirm this is a valid issue. The AWS credentials exposed in the source code are used for the OTP mail service (AWS SES). These credentials should not be hardcoded and require immediate handling.</t>
  </si>
  <si>
    <t>Valid Issue – Needs Action</t>
  </si>
  <si>
    <t> </t>
  </si>
  <si>
    <t>*Rotate AWS IAM credentials immediately in AWS Console
*Review CloudTrail logs for unauthorized usage in past 90 days
*Set up billing alerts and budget caps in AWS
*Move credentials to environment variables
*Implement AWS Secrets Manager for credential storage
*Restrict IAM policy to minimum permissions (only SES:SendEmail)
*Add IP restrictions if servers have static IPs</t>
  </si>
  <si>
    <t>SEC-003</t>
  </si>
  <si>
    <t>Firebase Cloud Messaging Token Exposed</t>
  </si>
  <si>
    <t>dashboard-backend/Modules/firebase.py:9; mobile-backend/Modules/firebase.py</t>
  </si>
  <si>
    <t>Server token hardcoded, allowing anyone to send unauthorized push notifications to all users for phishing/spam</t>
  </si>
  <si>
    <t>Phishing attacks, reputation damage</t>
  </si>
  <si>
    <t>After investigation, the issue is valid — the Firebase server token is hardcoded for testing push notifications. This token must be protected to prevent unauthorized use.</t>
  </si>
  <si>
    <t>*Regenerate Firebase server key in Firebase Console
*Move token to environment variables immediately
*Review Firebase notification logs for abuse
*Implement notification rate limiting (max 10 per user per hour)
*Add notification logging with user ID, timestamp, and IP
*Implement user notification preferences</t>
  </si>
  <si>
    <t>mobile-passenger/lib/shared/constants/constants.dart; mobile-driver/lib/shared/constants/constants.dart</t>
  </si>
  <si>
    <t>API key easily extracted from APK, enabling quota exhaustion attacks and potentially thousands in Google Cloud charges</t>
  </si>
  <si>
    <t>Financial loss, service disruption</t>
  </si>
  <si>
    <t>After investigation, the API key is hardcoded.</t>
  </si>
  <si>
    <t>Mobile</t>
  </si>
  <si>
    <t>*Set up Google Cloud billing alerts IMMEDIATELY (critical)
*Restrict all 3 API keys by application signatures (Android bundle ID, iOS bundle ID)
*Set daily quota limits for each Maps API in Google Cloud Console
*Enable detailed API usage monitoring
*For sensitive operations, implement server-side proxy
*Consider API key obfuscation in mobile apps
*Monitor usage daily for 30 days after fix</t>
  </si>
  <si>
    <t>Configuration</t>
  </si>
  <si>
    <t>dashboard-backend/api/settings/base.py; mobile-backend/api/settings/base.py</t>
  </si>
  <si>
    <t>CORS_ORIGIN_ALLOW_ALL = True allows any website to make authenticated requests, enabling CSRF and data theft</t>
  </si>
  <si>
    <t>CSRF attacks, data theft</t>
  </si>
  <si>
    <t>A01:2021 - Broken Access Control</t>
  </si>
  <si>
    <t>CWE-942</t>
  </si>
  <si>
    <t>The configuration was confirmed during review. CORS_ORIGIN_ALLOW_ALL = True is currently active and should be restricted to specific origins.</t>
  </si>
  <si>
    <t>*Change CORS_ORIGIN_ALLOW_ALL from True to False
*Set CORS_ALLOWED_ORIGINS to whitelist only production, staging, and localhost domains
*Enable CORS_ALLOW_CREDENTIALS = True
*Implement CSRF protection for state-changing operations
*Test all frontend integrations after change
*Add CORS verification to deployment checklist</t>
  </si>
  <si>
    <t>Rate Limiting</t>
  </si>
  <si>
    <t>Extremely high limits (5000 req/sec) allow brute force attacks, OTP enumeration, and DoS attacks</t>
  </si>
  <si>
    <t>Account takeover, service disruption</t>
  </si>
  <si>
    <t>A04:2021 - Insecure Design</t>
  </si>
  <si>
    <t>CWE-307</t>
  </si>
  <si>
    <t>After investigation, high limits (5000 req/sec) are configured in the staging environment for testing purposes. In production, current throttle limits (anon: 10/minute, user: 10/second) are active, and stricter rate-limiting configurations have been applied to ensure security.</t>
  </si>
  <si>
    <t>Needs Discussion</t>
  </si>
  <si>
    <t>Production limit still too high. 10 requests/second per user = 600/minute = 36,000/hour. This enables OTP brute force and abuse. Industry standard for ride-sharing apps: 10-50 requests/minute per user</t>
  </si>
  <si>
    <t xml:space="preserve">*Implement endpoint-specific throttling classes
*Configure strict rate limits: OTP (3 per 15min), Login (5 per hour), Password reset (3 per hour), General API (100 per minute)
*Add IP-based rate limiting for anonymous users
*Implement progressive delays after failed attempts (exponential backoff)
*Add CAPTCHA after 3 failed login attempts
*Log all rate limit violations with IP and user info
</t>
  </si>
  <si>
    <t>SEC-007</t>
  </si>
  <si>
    <t>HIGH</t>
  </si>
  <si>
    <t>Authentication</t>
  </si>
  <si>
    <t>Excessive Token Lifetime</t>
  </si>
  <si>
    <t>7-day token validity and unlimited tokens per user extend exploitation window for stolen credentials</t>
  </si>
  <si>
    <t>Extended attack window</t>
  </si>
  <si>
    <t>CWE-613</t>
  </si>
  <si>
    <t>*Reduce access token lifetime to 15-60 minutes
*Implement refresh tokens with 7-30 day lifetime
*Create token refresh endpoint in backend
*Store refresh tokens in database with device/IP tracking
*Implement automatic token refresh in frontend before expiry
*Add token revocation on password change and logout
*Set TOKEN_LIMIT_PER_USER to reasonable limits (3 for passengers, 2 for drivers/admins)</t>
  </si>
  <si>
    <t>SEC-008</t>
  </si>
  <si>
    <t>Storage</t>
  </si>
  <si>
    <t>Authentication Tokens in localStorage</t>
  </si>
  <si>
    <t>dashboard-frontend/src/shared/apiCall/ApiCall.js; dashboard-frontend/src/components/Login.jsx</t>
  </si>
  <si>
    <t>Tokens stored in localStorage are vulnerable to XSS attacks for easy theft</t>
  </si>
  <si>
    <t>Token theft via XSS</t>
  </si>
  <si>
    <t>A03:2021 - Injection</t>
  </si>
  <si>
    <t>CWE-922</t>
  </si>
  <si>
    <t>Thanks for this observation . You are right for sure. I researched the issue further and didn’t realize it could be that dangerous. It indeed exposes the app to potential XSS-based token theft.
From my research, I learned that the best practice for stronger security is to use three tokens: access token, refresh token, and CSRF token to help prevent CSRF attacks and improve overall authentication safety.
I really appreciate your detailed feedback and contributions. I have learnt a lot from this review sheet. Thanks and Regards .</t>
  </si>
  <si>
    <t xml:space="preserve">Frontend and Backend </t>
  </si>
  <si>
    <t>*Backend: Configure Knox to use httpOnly, secure, SameSite=Strict cookies
*Backend: Store refresh tokens in separate httpOnly cookies
*Backend: Implement CSRF token generation and validation
*Frontend: Remove all localStorage.getItem/setItem for tokens
*Frontend: Let browser handle cookies automatically
*Frontend: Include CSRF token in request headers
*Test authentication flow thoroughly across browsers</t>
  </si>
  <si>
    <t>SEC-009</t>
  </si>
  <si>
    <t>No Multi-Factor Authentication</t>
  </si>
  <si>
    <t>System-wide authentication flow</t>
  </si>
  <si>
    <t>Only password authentication makes accounts vulnerable to phishing, credential stuffing, and password reuse attacks</t>
  </si>
  <si>
    <t>Account takeover</t>
  </si>
  <si>
    <t>CWE-308</t>
  </si>
  <si>
    <t>After investigation, MFA is not implemented in the system.</t>
  </si>
  <si>
    <t>Backend&amp;mobile</t>
  </si>
  <si>
    <t>*Implement TOTP-based MFA using existing django-otp package
*Support Google Authenticator, Authy, Microsoft Authenticator
*Make MFA mandatory for: All admin accounts, Drivers with 100+ trips, Users with saved payment methods
*Provide recovery codes (one-time use, printable)
*Add SMS backup codes as alternative
*Implement MFA reset flow with identity verification
*Offer optional MFA for all other users</t>
  </si>
  <si>
    <t>Dependencies</t>
  </si>
  <si>
    <t>dashboard-backend/requirements.txt; mobile-backend/requirements.txt</t>
  </si>
  <si>
    <t>Django 4.0.3 has 15+ known CVEs including critical SQL injection (CVE-2023-31047)</t>
  </si>
  <si>
    <t>SQL injection, RCE</t>
  </si>
  <si>
    <t>A06:2021 - Vulnerable and Outdated Components</t>
  </si>
  <si>
    <t>CVE-2023-31047</t>
  </si>
  <si>
    <t xml:space="preserve">After investigation, the project uses the Djongo package for MongoDB integration, which currently supports only specific Django versions. Updating Django would break Djongo compatibility. </t>
  </si>
  <si>
    <t>Running known-vulnerable Django is a compliance violation. Djongo incompatibility is not an acceptable excuse.</t>
  </si>
  <si>
    <t>I need more research to a better option. But for now I found 3 options:        *(Django 5.0 + official backend) - IF all dependencies support Django 5.0
*Second Choice: (PostgreSQL) - Best long-term if Option 1 not viable
*Third Choice: (PyMongo + Custom) - If must stay on MongoDB but can't do Option 1</t>
  </si>
  <si>
    <t>5.11.2025, by Mahmoud Biltagy: It will need a lot of effort, Jtny team will still research migration strategy to not break the system</t>
  </si>
  <si>
    <t>Headers</t>
  </si>
  <si>
    <t>No CSP, HSTS, X-Content-Type-Options, etc., leaving app vulnerable to XSS, MITM, and clickjacking</t>
  </si>
  <si>
    <t>XSS, clickjacking, MITM</t>
  </si>
  <si>
    <t>CWE-693</t>
  </si>
  <si>
    <t xml:space="preserve">After investigation, several key security headers are missing (CSP, HSTS, X-Content-Type-Options). </t>
  </si>
  <si>
    <t>*Install django-csp package
*Add SecurityHeadersMiddleware to MIDDLEWARE
*Configure headers: X-Content-Type-Options: nosniff, X-Frame-Options: DENY, Strict-Transport-Security (HSTS), Content-Security-Policy (CSP), X-XSS-Protection
*Add SECURE_SSL_REDIRECT = True for production
*Test headers using securityheaders.com
*Run Django deployment check</t>
  </si>
  <si>
    <t>Input Validation</t>
  </si>
  <si>
    <t>dashboard-backend/Transaction/models.py; dashboard-backend/Trip/serializers.py; mobile-backend/Account/serializers.py</t>
  </si>
  <si>
    <t>No validation/sanitization enables NoSQL injection, XSS, and data corruption</t>
  </si>
  <si>
    <t>Data injection attacks</t>
  </si>
  <si>
    <t>CWE-20</t>
  </si>
  <si>
    <t>gray</t>
  </si>
  <si>
    <t xml:space="preserve">I believe it can be assigned to Backend Team. input validation is mandatory. </t>
  </si>
  <si>
    <t>*Audit all Django REST Framework serializers for validation
*Implement field validators for all user inputs
*Add input sanitization using bleach library for HTML/text fields
*Implement MongoDB query parameter validation (prevent $where, $regex abuse)
*Add string length limits on all CharField/TextField
*Whitelist allowed characters for critical fields (usernames, IDs, phones)
*Use Django's validators.RegexValidator for pattern matching</t>
  </si>
  <si>
    <t>SEC-013</t>
  </si>
  <si>
    <t>Excessive OTP Validity Period</t>
  </si>
  <si>
    <t>dashboard-backend/Account/models.py; mobile-backend/Account/models.py</t>
  </si>
  <si>
    <t>7-minute OTP validity (line 1116) provides extended window for brute force and social engineering attacks</t>
  </si>
  <si>
    <t>OTP bypass attacks</t>
  </si>
  <si>
    <t>CWE-294</t>
  </si>
  <si>
    <t>7 minutes might be acceptable for UX, but needs validation. I believe it can be assigned to the Backend Team.</t>
  </si>
  <si>
    <t>*Review OTP expiry configuration in Account models
*Consider reducing from 7 minutes to 5 minutes (industry standard for SMS)
*CRITICAL: Implement OTP attempt limiting (maximum 3-5 attempts)
*Add rate limiting on OTP generation (max 3 OTPs per 15 minutes per phone)
*Implement progressive delays after failed OTP attempts
*Add OTP failure logging and monitoring
*Conduct UX testing to ensure 5 minutes is sufficient</t>
  </si>
  <si>
    <t>dashboard-backend/api/settings/dev.py; mobile-backend/api/settings/dev.py</t>
  </si>
  <si>
    <t>DEBUG = True exposes stack traces, credentials, file paths, and system architecture in error messages</t>
  </si>
  <si>
    <t>Information disclosure</t>
  </si>
  <si>
    <t>CWE-489</t>
  </si>
  <si>
    <t>After investigation, DEBUG = True is used only in the development configuration (dev.py) for testing endpoints locally. The production server is configured with DEBUG = False and managed through the pro.env file. Therefore, this configuration does not affect the live environment.</t>
  </si>
  <si>
    <t>Agree, not an issue if production is secure and properly configured.</t>
  </si>
  <si>
    <t>Monitoring</t>
  </si>
  <si>
    <t>System-wide; dashboard-backend/api/settings/base.py</t>
  </si>
  <si>
    <t>Minimal logging prevents detection of breaches, attacks, and unauthorized access; violates GDPR/PCI-DSS</t>
  </si>
  <si>
    <t>Undetected breaches</t>
  </si>
  <si>
    <t>A09:2021 - Security Logging and Monitoring Failures</t>
  </si>
  <si>
    <t>CWE-778</t>
  </si>
  <si>
    <t xml:space="preserve">After investigation, current logging is minimal and defaults to Django console. Recommended to implement structured logging for authentication events, API requests, and admin actions. </t>
  </si>
  <si>
    <t xml:space="preserve"> Logging is a compliance requirement.</t>
  </si>
  <si>
    <t>*Implement structured JSON logging using Python logging library
*Log all authentication events: login success/failure, logout, password changes, MFA events
*Log authorization failures (403 errors)
*Log admin panel actions (user edits, role changes, permission grants)
*Set up log aggregation (ELK Stack, CloudWatch Logs, or Datadog)
*Configure alerts for suspicious patterns: multiple failed logins, unusual API access, admin actions outside business hours
*Ensure logs include: timestamp, user ID, IP address, action, outcome
*Set log retention policy (90 days minimum for compliance)</t>
  </si>
  <si>
    <t>Infrastructure</t>
  </si>
  <si>
    <t>Infrastructure level</t>
  </si>
  <si>
    <t>Direct API exposure with no DDoS protection, bot detection, or traffic filtering at edge</t>
  </si>
  <si>
    <t>DDoS, automated attacks</t>
  </si>
  <si>
    <t>security</t>
  </si>
  <si>
    <t>*Deploy Cloudflare Free tier IMMEDIATELY (takes 15-30 minutes, zero cost)
*Point domain DNS to Cloudflare nameservers
*Enable WAF rules and DDoS protection (automatic)
*Configure SSL/TLS (Full or Strict mode)
*Add basic rate limiting rules in Cloudflare
*Enable bot fight mode
*Set up alerts for traffic anomalies
*Review analytics for attack patterns</t>
  </si>
  <si>
    <t>Secrets Management</t>
  </si>
  <si>
    <t>System-wide deployment</t>
  </si>
  <si>
    <t>Secrets in plaintext .env files and environment variables with no rotation, encryption, or audit trail</t>
  </si>
  <si>
    <t>Credential exposure</t>
  </si>
  <si>
    <t>Can be assigned to DevOps Team.</t>
  </si>
  <si>
    <t>*Quick win: Implement django-environ for .env file management
*Ensure all .env files are in .gitignore
*Choose secrets management solution: AWS Secrets Manager ($0.40/secret/month) OR HashiCorp Vault (free, self-hosted)
*Migrate all credentials to secrets manager: MongoDB, AWS, Firebase, Google Maps, OAuth secrets, SMS credentials
*Implement automatic secret rotation for databases
*Add secrets access audit logging
*Document secret rotation procedures</t>
  </si>
  <si>
    <t>MEDIUM</t>
  </si>
  <si>
    <t>API Design</t>
  </si>
  <si>
    <t>System-wide API endpoints</t>
  </si>
  <si>
    <t>Breaking changes affect all clients simultaneously; no gradual migration path</t>
  </si>
  <si>
    <t>Service disruption</t>
  </si>
  <si>
    <t>CWE-656</t>
  </si>
  <si>
    <t xml:space="preserve">Not an Issue </t>
  </si>
  <si>
    <t>Low priority for security. This is an operational/DevOps concern, not a security vulnerability. API versioning is good practice but not urgent for security.</t>
  </si>
  <si>
    <t xml:space="preserve">*Not a security priority
*Consider implementing when planning breaking API changes
*Options: URL-based versioning (/api/v1/), Header-based versioning
</t>
  </si>
  <si>
    <t>Mobile Security</t>
  </si>
  <si>
    <t>mobile-passenger/lib/services/api_service.dart; mobile-driver/lib/services/api_service.dart</t>
  </si>
  <si>
    <t>Mobile apps vulnerable to MITM attacks on compromised networks</t>
  </si>
  <si>
    <t>MITM attacks</t>
  </si>
  <si>
    <t>A02:2021 - Cryptographic Failures</t>
  </si>
  <si>
    <t>CWE-295</t>
  </si>
  <si>
    <t>After investigation, SSL certificate pinning is not implemented.</t>
  </si>
  <si>
    <t xml:space="preserve">Mobile </t>
  </si>
  <si>
    <t>*Research Flutter certificate pinning packages (dio with pinning, flutter_ssl_pinning)
*Implement dual pinning: Pin primary certificate AND backup certificate
*Extract SSL certificate from production server
*Implement pinning in HTTP client initialization
*Test with mitmproxy to verify MITM protection
*CRITICAL: Implement certificate update mechanism (backend endpoint OR app update)
*Plan for certificate expiry (certificates typically 1-2 years)
*Document pin update procedures
*Priority higher for driver app (location/financial data)</t>
  </si>
  <si>
    <t>Mobile Passenger App; Mobile Driver App</t>
  </si>
  <si>
    <t>Apps run on compromised devices, enabling keylogging, memory dumping, and code injection</t>
  </si>
  <si>
    <t>App tampering</t>
  </si>
  <si>
    <t>M8 - Code Tampering</t>
  </si>
  <si>
    <t>CWE-919</t>
  </si>
  <si>
    <t xml:space="preserve">After investigation, apps currently lack root/jailbreak detection. </t>
  </si>
  <si>
    <t>*Research Flutter packages: flutter_jailbreak_detection or trust_fall (newer, better maintained)
*Implement detection on app startup and periodically during use
*Decision needed: Driver app - BLOCK on rooted devices (RECOMMENDED due to GPS spoofing risk), Passenger app - WARN user but allow
*Implement SafetyNet Attestation API for Android
*Implement DeviceCheck for iOS
*Add graceful error messages for users
*Log all jailbreak detection events</t>
  </si>
  <si>
    <t>File Upload</t>
  </si>
  <si>
    <t>User profile uploads; driver documents</t>
  </si>
  <si>
    <t>No file type/size validation enables malicious file upload, storage exhaustion, and XSS via SVG</t>
  </si>
  <si>
    <t>XSS, storage exhaustion</t>
  </si>
  <si>
    <t>CWE-434</t>
  </si>
  <si>
    <t>After investigation, file uploads do not enforce allowed types or size limits. Recommended to validate file type (e.g., images only), enforce max file size</t>
  </si>
  <si>
    <t>backend&amp;front&amp;mobile</t>
  </si>
  <si>
    <t>*Backend: Whitelist MIME types (image/jpeg, image/png for photos; add application/pdf for documents)
*Backend: Validate magic bytes, NOT just file extension
*Backend: Set max file sizes (5MB for profile photos, 10MB for documents)
*Backend: Sanitize filenames (remove special characters, prevent path traversal)
*Frontend: Client-side file type checking before upload (UX improvement)
*Frontend: Show file size before upload
*Storage: Store uploads OUTSIDE web root, generate random filenames, serve via signed URLs with expiration
*Optional but recommended: Scan uploaded files with ClamAV for malware
*Implement file upload rate limiting
*Log all file uploads with user ID</t>
  </si>
  <si>
    <t>SEC-022</t>
  </si>
  <si>
    <t>Session Management</t>
  </si>
  <si>
    <t>Unlimited Concurrent Sessions</t>
  </si>
  <si>
    <t>TOKEN_LIMIT_PER_USER: None enables account sharing and makes token theft undetectable</t>
  </si>
  <si>
    <t>Account sharing</t>
  </si>
  <si>
    <t>CWE-384</t>
  </si>
  <si>
    <t>After investigation, TOKEN_LIMIT_PER_USER is set to None allowing unlimited concurrent sessions.</t>
  </si>
  <si>
    <t>*Set TOKEN_LIMIT_PER_USER to reasonable limits: Passengers (3 devices), Drivers (2 devices), Admins (2 devices)
*Implement "Active Sessions" management view in user settings
*Show session details: device info, last IP, last activity time, geolocation (optional)
*Allow users to revoke sessions remotely
*Send email notification when new device logs in
*Track tokens in database with metadata: device_info, ip_address, created_at, last_activity
*Auto-revoke oldest session when limit exceeded
*Update Knox configuration for token tracking</t>
  </si>
  <si>
    <t>Password Policy</t>
  </si>
  <si>
    <t>dashboard-backend/api/settings/base.py</t>
  </si>
  <si>
    <t>Default 8-char minimum with no complexity requirements allows weak passwords like 'password123'</t>
  </si>
  <si>
    <t>Weak passwords</t>
  </si>
  <si>
    <t>CWE-521</t>
  </si>
  <si>
    <t>After investigation, the current password validators enforce only minimum length. Recommended to enforce complexity rules (uppercase, lowercase, number, symbol) and optionally integrate password blacklist.</t>
  </si>
  <si>
    <t>*Keep existing 4 Django validators (they are good baseline)
*Increase MinimumLengthValidator to 10-12 characters minimum
*Configure CommonPasswordValidator with larger blacklist
*Consider adding explicit complexity requirements OR use strength score
*Implement password strength meter in frontend (zxcvbn.js library)
*Optional: Check against Have I Been Pwned API for compromised passwords
*Mobile apps: Implement identical validation
*Mobile apps: Add visual password strength indicator</t>
  </si>
  <si>
    <t>DoS Protection</t>
  </si>
  <si>
    <t>Django settings; web server configuration</t>
  </si>
  <si>
    <t>No limits on payload size enables memory exhaustion DoS via large JSON/file uploads</t>
  </si>
  <si>
    <t>DoS attacks</t>
  </si>
  <si>
    <t>CWE-400</t>
  </si>
  <si>
    <t>After investigation, there is no current limit on request size, which could allow memory exhaustion attacks.</t>
  </si>
  <si>
    <t>*Django settings: Add DATA_UPLOAD_MAX_MEMORY_SIZE = 5242880 (5MB for API requests)
*Django settings: Add FILE_UPLOAD_MAX_MEMORY_SIZE = 10485760 (10MB for file uploads)
*Web server (nginx): Add client_max_body_size 10M; in server block
*Web server (Apache): Add LimitRequestBody 10485760 in VirtualHost
*Consider per-endpoint customization using Django middleware
*Test limits by attempting large uploads
*Ensure appropriate error messages are returned
*Document limits for API consumers</t>
  </si>
  <si>
    <t>Various views and serializers</t>
  </si>
  <si>
    <t>N+1 query problems cause database overload and enable DoS via slow queries</t>
  </si>
  <si>
    <t>Performance degradation</t>
  </si>
  <si>
    <t xml:space="preserve">After investigation, several views and serializers exhibit N+1 query patterns, which could impact performance under high load. </t>
  </si>
  <si>
    <t>This is a performance issue. N+1 queries impact scalability but are not a direct security vulnerability.</t>
  </si>
  <si>
    <t>File Access</t>
  </si>
  <si>
    <t>User-uploaded files; media storage</t>
  </si>
  <si>
    <t>Predictable URLs and no access control enable unauthorized document access and enumeration</t>
  </si>
  <si>
    <t>Data exposure</t>
  </si>
  <si>
    <t>CWE-639</t>
  </si>
  <si>
    <t xml:space="preserve">After investigation, user-uploaded files are accessible via predictable URLs without access control. </t>
  </si>
  <si>
    <t>Depends on file types. Security requirements differ by file type. Public files (profile pictures) don't need access control. Private files (driver licenses) absolutely do. We need to classify your files and design appropriate security for each category.</t>
  </si>
  <si>
    <t>*Classify all file types: PUBLIC (profile pictures, car photos) vs PRIVATE (driver licenses, insurance, tax docs)
*For PUBLIC files: Current setup acceptable, consider CDN for performance
*For PRIVATE files (CRITICAL): Store outside MEDIA_ROOT or use private S3 bucket, Create secure file serving view with permission checks, Generate signed URLs with short expiration (1-5 minutes), *Implement file access logging
*Verify authorization: Drivers can only access their own documents, Admins can access all
*Log all file access attempts: user_id, file_id, timestamp, IP, outcome
*Consider watermarking sensitive documents
*Consider document encryption at rest for highly sensitive files</t>
  </si>
  <si>
    <t>Estimated Performance Improvements</t>
  </si>
  <si>
    <t>Optimization</t>
  </si>
  <si>
    <t>Expected Improvement</t>
  </si>
  <si>
    <t>User Experience Impact</t>
  </si>
  <si>
    <t>Mobile App Startup</t>
  </si>
  <si>
    <t>400-1200ms → 100-300ms (70-92% faster)</t>
  </si>
  <si>
    <t>App opens in under 1s</t>
  </si>
  <si>
    <t>Database Query Optimization</t>
  </si>
  <si>
    <t>70-85% faster queries</t>
  </si>
  <si>
    <t>Page loads under 2s</t>
  </si>
  <si>
    <t>HTTP Client Configuration</t>
  </si>
  <si>
    <t>100-300ms → 10-30ms per request (70-90% faster)</t>
  </si>
  <si>
    <t>Instant API responses</t>
  </si>
  <si>
    <t>Location Tracking (Driver App)</t>
  </si>
  <si>
    <t>15-30% → 3-5% battery drain (80-90% reduction)</t>
  </si>
  <si>
    <t>All-day usage for drivers</t>
  </si>
  <si>
    <t>Provider Selective Rebuilds</t>
  </si>
  <si>
    <t>100-500ms → 10-30ms updates (80-95% faster)</t>
  </si>
  <si>
    <t>Smooth 60 FPS animations</t>
  </si>
  <si>
    <t>Trip History Pagination</t>
  </si>
  <si>
    <t>2-5s → 200-500ms load (75-90% faster)</t>
  </si>
  <si>
    <t>Instant scrolling, no crashes</t>
  </si>
  <si>
    <t>Firestore Persistence Disabled</t>
  </si>
  <si>
    <t>200-1000ms → 50-150ms first query (70-85% faster)</t>
  </si>
  <si>
    <t>Fresh data instantly</t>
  </si>
  <si>
    <t>Request Debouncing</t>
  </si>
  <si>
    <t>70-90% reduction in API calls</t>
  </si>
  <si>
    <t>No lag, reduced server load</t>
  </si>
  <si>
    <t>Bundle Size Optimization</t>
  </si>
  <si>
    <t>50% smaller JavaScript bundles</t>
  </si>
  <si>
    <t>3s faster initial page load</t>
  </si>
  <si>
    <t>Image Optimization</t>
  </si>
  <si>
    <t>60-80% smaller images</t>
  </si>
  <si>
    <t>Faster page rendering</t>
  </si>
  <si>
    <t>Real-time Connection Pool</t>
  </si>
  <si>
    <t>40-60% reduction in connections</t>
  </si>
  <si>
    <t>Reduced infrastructure costs</t>
  </si>
  <si>
    <t>Lazy Loading Maps</t>
  </si>
  <si>
    <t>300-800ms → 0ms at startup (100% eliminated)</t>
  </si>
  <si>
    <t>Instant app launch</t>
  </si>
  <si>
    <t>HTTP/2 Implementation</t>
  </si>
  <si>
    <t>10-20% faster initial load</t>
  </si>
  <si>
    <t>Reduced latency globally</t>
  </si>
  <si>
    <t>CDN for Static Assets</t>
  </si>
  <si>
    <t>200-500ms faster globally</t>
  </si>
  <si>
    <t>Better international UX</t>
  </si>
  <si>
    <t>Database Read Replicas</t>
  </si>
  <si>
    <t>40-60% improvement in reads</t>
  </si>
  <si>
    <t>Faster analytics &amp; reports</t>
  </si>
  <si>
    <t>APM Tool Integration</t>
  </si>
  <si>
    <t>Real-time monitoring</t>
  </si>
  <si>
    <t>Proactive issue resolution</t>
  </si>
  <si>
    <t>Load Testing Pipeline</t>
  </si>
  <si>
    <t>Prevents production crashes</t>
  </si>
  <si>
    <t>Stable during viral growth</t>
  </si>
  <si>
    <t>Performance Budgets</t>
  </si>
  <si>
    <t>Prevents regressions</t>
  </si>
  <si>
    <t>Consistent fast experience</t>
  </si>
  <si>
    <t>Chat HTML Rendering</t>
  </si>
  <si>
    <t>30-45 FPS → 60 FPS scrolling (30-100% improvement)</t>
  </si>
  <si>
    <t>Smooth chat scrolling</t>
  </si>
  <si>
    <t>Memory Leak Fixes</t>
  </si>
  <si>
    <t>80% reduction in crashes</t>
  </si>
  <si>
    <t>Stable long sessions</t>
  </si>
  <si>
    <t>Standards/Guidelines Followed</t>
  </si>
  <si>
    <t>Estimation (WD)</t>
  </si>
  <si>
    <t>PERF-DB-001</t>
  </si>
  <si>
    <t>Database</t>
  </si>
  <si>
    <t>*Performance degradation under load
*Multiple queries where one would suffice
*Database becomes bottleneck
*Poor scalability</t>
  </si>
  <si>
    <t>*Rewrite ORM usage to leverage select_related/prefetch_related and collapse query counts.
*Add a regression test that asserts query count for the affected endpoint.
*Profile the affected queries with the database profiler to capture baseline timings.
*Audit indexes and execution plans, adding or adjusting indexes to support the hot path.
*Enable slow-query logging and surface metrics in the APM dashboard.</t>
  </si>
  <si>
    <t>OWASP API Security Top 10 (API4:2023 - Unrestricted Resource Consumption); CWE-1073; Performance Best Practices</t>
  </si>
  <si>
    <t>This is both a performance and security issue. N+1 queries don't just slow down your application—they create a DoS vulnerability. An attacker can repeatedly call endpoints with N+1 problems to exhaust database connections.</t>
  </si>
  <si>
    <t>api/settings/prod.py:27-36</t>
  </si>
  <si>
    <t>No connection pooling configured for MongoDB/Djongo. Missing maxPoolSize, minPoolSize configuration.</t>
  </si>
  <si>
    <t>*Each request creates new connections
*Connection exhaustion under load
*500-1000ms latency per request
*Database becomes overwhelmed with connection overhead</t>
  </si>
  <si>
    <t>*Configure database connection pooling values (min/max pool size, timeouts) in production settings.
*Validate pooled connection reuse under load with a staging load test.
*Profile the affected queries with the database profiler to capture baseline timings.
*Audit indexes and execution plans, adding or adjusting indexes to support the hot path.
*Enable slow-query logging and surface metrics in the APM dashboard.</t>
  </si>
  <si>
    <t xml:space="preserve">OWASP API Security Top 10 (API4:2023); CWE-400; Database Performance Standards
</t>
  </si>
  <si>
    <t>Account/serializers.py:83-89</t>
  </si>
  <si>
    <t>get_permissions() iterates through groups.all() then permissions.all() for each group. No prefetch_related.</t>
  </si>
  <si>
    <t>*User with 5 groups + 10 permissions each = 55 queries instead of 1
*Adds 200-500ms per user serialization
*Authentication/authorization endpoints severely slowed
*Every API call potentially affected</t>
  </si>
  <si>
    <t>ORM Performance Best Practices; CWE-1073</t>
  </si>
  <si>
    <t>General</t>
  </si>
  <si>
    <t>Trip/models.py:787-1451</t>
  </si>
  <si>
    <t>1450+ line aggregation pipeline with 15+ $lookup stages. No result limiting.</t>
  </si>
  <si>
    <t>*Fetches thousands of trips at once
*Memory issues (OOM killer can terminate process)
*5-10 second response times
*Server crashes under concurrent load
*Database CPU at 100%</t>
  </si>
  <si>
    <t>*Break large aggregation pipelines into optimized stages with early filtering.
*Add covering indexes for fields referenced in $match/$lookup steps.
*Implement server-side pagination with deterministic ordering and limits.
*Expose pagination parameters to clients and document defaults.
*Use memory profiling tools to identify retained objects and fix leaks.</t>
  </si>
  <si>
    <t>OWASP API4:2023; CWE-770; Database Performance Standards</t>
  </si>
  <si>
    <t>Driver/views.py:81-306</t>
  </si>
  <si>
    <t>Multiple $lookup operations without indexed fields. Fetches all data then paginates in Python.</t>
  </si>
  <si>
    <t>*Loads 10,000 drivers into memory before pagination
*2-5 second response time
*High memory consumption
*Database does all work, pagination happens in application
*Scalability nightmare</t>
  </si>
  <si>
    <t>API Performance Standards; Pagination Best Practices</t>
  </si>
  <si>
    <t>PERF-DB-006</t>
  </si>
  <si>
    <t>Caching</t>
  </si>
  <si>
    <t>Missing Caching Layer</t>
  </si>
  <si>
    <t>Entire codebase - no cache configuration</t>
  </si>
  <si>
    <t>No Redis/Memcached configured. No caching for queries, sessions, permissions, config.</t>
  </si>
  <si>
    <t>*Every request hits database
*100-300ms wasted per request
*Database becomes bottleneck
*Cannot scale horizontally
*Repeated computation of same data</t>
  </si>
  <si>
    <t>*Select the appropriate cache backend (Redis/Memcached) and integrate with the service.
*Define cache invalidation triggers tied to data mutations.
*Introduce a centralized cache (Redis/Memcached) for expensive lookups with clear TTL guidance.
*Design a cache invalidation strategy and attach cache busting to the relevant signals.
*Add cache hit/miss metrics and alerts to detect regressions.</t>
  </si>
  <si>
    <t xml:space="preserve">Performance Best Practices; Caching Standards
</t>
  </si>
  <si>
    <t>PERF-DB-007</t>
  </si>
  <si>
    <t>API</t>
  </si>
  <si>
    <t>Synchronous File Upload in Request</t>
  </si>
  <si>
    <t>Account/views.py:590-637</t>
  </si>
  <si>
    <t>File uploads and Firebase operations done synchronously in request/response cycle.</t>
  </si>
  <si>
    <t>*User waits for file I/O and Firebase operations
*500-2000ms blocking time per upload
*Request threads blocked during upload
*Poor scalability</t>
  </si>
  <si>
    <t>*Handle file uploads asynchronously and use pre-signed URLs to offload work from the API.
*Scan and store uploads outside of the web tier to keep requests lightweight.
*Batch Firebase calls and reuse initialized clients to reduce latency.
*Monitor push notification delivery SLAs after the fix.
*Remove synchronous heavy lifting from the request cycle or offload it to background workers.</t>
  </si>
  <si>
    <t xml:space="preserve">Asynchronous Processing Best Practices; CWE-400
</t>
  </si>
  <si>
    <t>PERF-DB-008</t>
  </si>
  <si>
    <t>No Celery for Heavy Operations</t>
  </si>
  <si>
    <t>Multiple views</t>
  </si>
  <si>
    <t>SMS sending, Firebase updates, Excel generation done synchronously.</t>
  </si>
  <si>
    <t>*Excel generation takes 3-10 seconds blocking user
*Email sending blocks requests
*Push notifications delay responses
*Poor user experience</t>
  </si>
  <si>
    <t>*Introduce a resilient task queue (Celery/RQ) for heavy background operations.
*Ensure jobs are idempotent and include retry/backoff policies.
*Stream large Excel exports instead of loading everything into memory.
*Move export generation to a background worker and notify the user when ready.
*Batch Firebase calls and reuse initialized clients to reduce latency.</t>
  </si>
  <si>
    <t xml:space="preserve">Background Processing Standards; Task Queue Best Practices
</t>
  </si>
  <si>
    <t>PERF-DB-009</t>
  </si>
  <si>
    <t>Memory</t>
  </si>
  <si>
    <t>Excel Export Loads All Data Into Memory</t>
  </si>
  <si>
    <t>Driver/views.py:1243-1318</t>
  </si>
  <si>
    <t>Fetches all records, loads into DataFrame, generates Excel. No streaming.</t>
  </si>
  <si>
    <t>*50,000 drivers = 500MB+ RAM per request
*10-30 seconds generation time
*Potential Out of Memory (OOM) errors
*Server crashes under concurrent exports</t>
  </si>
  <si>
    <t>*Stream large Excel exports instead of loading everything into memory.
*Move export generation to a background worker and notify the user when ready.
*Use memory profiling tools to identify retained objects and fix leaks.
*Add guardrails and alarms on process RSS to catch regressions.
*Stream large datasets instead of materializing them in memory at once.</t>
  </si>
  <si>
    <t xml:space="preserve">Memory Management; CWE-400
</t>
  </si>
  <si>
    <t>Account/views.py:478, 494-499</t>
  </si>
  <si>
    <t>Queries fetch all model fields when only specific fields needed.</t>
  </si>
  <si>
    <t>*Fetching 20 fields instead of 5 needed
*2-3x more data transfer from database
*Slower serialization
*Higher memory usage</t>
  </si>
  <si>
    <t>*Profile the affected queries with the database profiler to capture baseline timings.
*Audit indexes and execution plans, adding or adjusting indexes to support the hot path.
*Enable slow-query logging and surface metrics in the APM dashboard.
*Capture before/after performance metrics (latency, throughput, resource usage) to validate the improvement.
*Update documentation and runbooks with remediation details and rollback steps.</t>
  </si>
  <si>
    <t>ORM Performance Best Practices; Django Framework Guidelines</t>
  </si>
  <si>
    <t>Driver/views.py:814-832</t>
  </si>
  <si>
    <t>Python loop over queryset calling function for each trip individually.</t>
  </si>
  <si>
    <t>*1000 trips = 1000 function calls instead of 1 aggregation
*5-10 seconds vs 100ms
*O(n) complexity where O(1) is possible
*Database hammered with queries</t>
  </si>
  <si>
    <t>*Break large aggregation pipelines into optimized stages with early filtering.
*Add covering indexes for fields referenced in $match/$lookup steps.
*Profile the affected queries with the database profiler to capture baseline timings.
*Audit indexes and execution plans, adding or adjusting indexes to support the hot path.
*Enable slow-query logging and surface metrics in the APM dashboard.</t>
  </si>
  <si>
    <t xml:space="preserve">Algorithm Efficiency Standards; CWE-1050
</t>
  </si>
  <si>
    <t>PERF-DB-012</t>
  </si>
  <si>
    <t>Complex Aggregation Pipeline</t>
  </si>
  <si>
    <t>Driver/models.py:555-928</t>
  </si>
  <si>
    <t>20+ stage aggregation with 13 $lookup, 8 $unwind. No verified indexes.</t>
  </si>
  <si>
    <t>*Each unindexed lookup is O(n*m)
*1000 trips = 3-8 seconds per query
*Database CPU at 100%
*Concurrent queries cause timeouts</t>
  </si>
  <si>
    <t>*Break large aggregation pipelines into optimized stages with early filtering.
*Add covering indexes for fields referenced in $match/$lookup steps.
*Break the work into smaller batches or streaming chunks to avoid blocking the main thread.
*Instrument the endpoint with detailed latency and throughput metrics.
*Review error budgets and update runbooks with the remediation procedure.</t>
  </si>
  <si>
    <t xml:space="preserve">Database Performance Standards; MongoDB Best Practices
</t>
  </si>
  <si>
    <t>Account/models.py:105-107</t>
  </si>
  <si>
    <t>No indexes on suspended_from/to, is_deleted, role despite frequent queries.</t>
  </si>
  <si>
    <t>*Full table scan on 100K accounts = 1-3s instead of 10-50ms
*Every user query slow
*Database CPU at 100% during peak times
*Query time grows linearly with data</t>
  </si>
  <si>
    <t xml:space="preserve">Database Performance Standards; CWE-1089
</t>
  </si>
  <si>
    <t>PERF-DB-014</t>
  </si>
  <si>
    <t>No Response Compression</t>
  </si>
  <si>
    <t>api/settings/base.py</t>
  </si>
  <si>
    <t>No GZipMiddleware. Large JSON responses sent uncompressed.</t>
  </si>
  <si>
    <t>*100KB JSON = 100KB transfer vs 10-20KB compressed
*Slower mobile app performance
*Higher bandwidth costs
*Poor experience on slow networks</t>
  </si>
  <si>
    <t>*Enable gzip/brotli compression for the affected endpoints or assets.
*Verify compression ratios and impact on CPU usage.
*Break the work into smaller batches or streaming chunks to avoid blocking the main thread.
*Instrument the endpoint with detailed latency and throughput metrics.
*Review error budgets and update runbooks with the remediation procedure.</t>
  </si>
  <si>
    <t xml:space="preserve">HTTP Compression Standards
</t>
  </si>
  <si>
    <t>PERF-DB-015</t>
  </si>
  <si>
    <t>State</t>
  </si>
  <si>
    <t>Missing Query Result Caching</t>
  </si>
  <si>
    <t>Account/serializers.py:426-451</t>
  </si>
  <si>
    <t>Same profile data fetched repeatedly without caching.</t>
  </si>
  <si>
    <t>*100 users = 100 MongoDB queries for same data
*Adds 50-200ms per page load
*Database unnecessary load
*Poor scalability</t>
  </si>
  <si>
    <t>*Select the appropriate cache backend (Redis/Memcached) and integrate with the service.
*Define cache invalidation triggers tied to data mutations.
*Consolidate state mutations to reduce redundant recalculations.
*Use memoization or selectors to avoid re-computing derived state.
*Instrument state change frequency to validate improvements.</t>
  </si>
  <si>
    <t xml:space="preserve">Database Performance Standards; Caching Best Practices
</t>
  </si>
  <si>
    <t>PERF-DB-016</t>
  </si>
  <si>
    <t>Date Filtering Using ObjectId Only</t>
  </si>
  <si>
    <t>Driver/models.py:504-514</t>
  </si>
  <si>
    <t>Uses _id for date filtering but no explicit created_at field indexed.</t>
  </si>
  <si>
    <t>*Works but limits flexibility
*Cannot filter by updated_at
*ObjectId extraction slower than indexed date field
*Future maintenance issues</t>
  </si>
  <si>
    <t>*Break the work into smaller batches or streaming chunks to avoid blocking the main thread.
*Instrument the endpoint with detailed latency and throughput metrics.
*Review error budgets and update runbooks with the remediation procedure.
*Capture before/after performance metrics (latency, throughput, resource usage) to validate the improvement.
*Update documentation and runbooks with remediation details and rollback steps.</t>
  </si>
  <si>
    <t xml:space="preserve">MongoDB Best Practices; Database Indexing Standards
</t>
  </si>
  <si>
    <t>PERF-DB-017</t>
  </si>
  <si>
    <t>LOW</t>
  </si>
  <si>
    <t>Print Statements in Production</t>
  </si>
  <si>
    <t>Driver/views.py:643,644,656,676,677</t>
  </si>
  <si>
    <t>Extensive print() debugging statements left in production code.</t>
  </si>
  <si>
    <t>*I/O overhead for every print
*Logs fill up with debug messages
*Makes real errors hard to find
*Unprofessional</t>
  </si>
  <si>
    <t>*Reduce per-request logging noise and batch expensive log writes.
*Add structured logging that can be sampled under load.
*Consolidate state mutations to reduce redundant recalculations.
*Use memoization or selectors to avoid re-computing derived state.
*Instrument state change frequency to validate improvements.</t>
  </si>
  <si>
    <t xml:space="preserve">Production Code Quality; Logging Best Practices
</t>
  </si>
  <si>
    <t>PERF-DB-018</t>
  </si>
  <si>
    <t>Unindexed Regex Queries</t>
  </si>
  <si>
    <t>Driver/models.py:521-542</t>
  </si>
  <si>
    <t>Case-insensitive regex on username/email without text indexes.</t>
  </si>
  <si>
    <t>*Full table scan for every search
*50K users = 500ms-2s per search vs 10-50ms indexed
*Search feature unusable at scale
*Database CPU spikes</t>
  </si>
  <si>
    <t>*Profile the affected queries with the database profiler to capture baseline timings.
*Audit indexes and execution plans, adding or adjusting indexes to support the hot path.
*Enable slow-query logging and surface metrics in the APM dashboard.
*Capture before/after performance metrics (latency, throughput, resource usage) to validate the improvement.</t>
  </si>
  <si>
    <t>PERF-DB-019</t>
  </si>
  <si>
    <t>Large Serializer Depth</t>
  </si>
  <si>
    <t>Account/serializers.py:735</t>
  </si>
  <si>
    <t>depth=2 automatically fetches all related objects 2 levels deep.</t>
  </si>
  <si>
    <t>*Can fetch 10x more data than needed
*Slow serialization
*Large response payloads
*Circular reference issues</t>
  </si>
  <si>
    <t xml:space="preserve">*Break the work into smaller batches or streaming chunks to avoid blocking the main thread.
*Instrument the endpoint with detailed latency and throughput metrics.
*Review error budgets and update runbooks with the remediation procedure.
*Capture before/after performance metrics (latency, throughput, resource usage) to validate the improvement.
</t>
  </si>
  <si>
    <t>API Performance Best Practices; Django REST Framework Guidelines</t>
  </si>
  <si>
    <t>PERF-DB-020</t>
  </si>
  <si>
    <t>No Query Monitoring</t>
  </si>
  <si>
    <t>Settings files</t>
  </si>
  <si>
    <t>No Django Debug Toolbar, no slow query logging, no query counting.</t>
  </si>
  <si>
    <t>*Cannot identify slow queries in production
*Performance regressions go unnoticed
*No data for optimization decisions
*Blind to performance issues</t>
  </si>
  <si>
    <t>*Reduce per-request logging noise and batch expensive log writes.
*Add structured logging that can be sampled under load.
*Profile the affected queries with the database profiler to capture baseline timings.
*Audit indexes and execution plans, adding or adjusting indexes to support the hot path.
*Enable slow-query logging and surface metrics in the APM dashboard.</t>
  </si>
  <si>
    <t xml:space="preserve">Observability Best Practices; Performance Monitoring Standards
</t>
  </si>
  <si>
    <t>PERF-DB-021</t>
  </si>
  <si>
    <t>Missing Per-Endpoint Rate Limiting</t>
  </si>
  <si>
    <t>api/settings/base.py:72-82</t>
  </si>
  <si>
    <t>Global rate limiting at 10 req/sec per user. No endpoint-specific limits.</t>
  </si>
  <si>
    <t>*Expensive endpoints (exports, aggregations) can be abused
*Single user can trigger expensive operations repeatedly
*DoS via legitimate but expensive requests
*Poor resource allocation</t>
  </si>
  <si>
    <t>*Break large aggregation pipelines into optimized stages with early filtering.
*Add covering indexes for fields referenced in $match/$lookup steps.
*Stream large Excel exports instead of loading everything into memory.
*Move export generation to a background worker and notify the user when ready.
*Remove synchronous heavy lifting from the request cycle or offload it to background workers.</t>
  </si>
  <si>
    <t xml:space="preserve">OWASP API4:2023; CWE-770
</t>
  </si>
  <si>
    <t>PERF-DB-022</t>
  </si>
  <si>
    <t>No CDN for Static/Media Files</t>
  </si>
  <si>
    <t>api/settings/base.py:187-228</t>
  </si>
  <si>
    <t>Static and media files served from app server, no CDN.</t>
  </si>
  <si>
    <t>*Slower asset delivery worldwide
*Wasted application server bandwidth
* No edge caching
*Poor experience for international users
* Higher server costs</t>
  </si>
  <si>
    <t>*Optimize image assets with responsive sizing and next-gen formats.
*Serve cached variants via CDN to minimize download time.
*Break the work into smaller batches or streaming chunks to avoid blocking the main thread.
*Instrument the endpoint with detailed latency and throughput metrics.
*Review error budgets and update runbooks with the remediation procedure.</t>
  </si>
  <si>
    <t xml:space="preserve">Web Performance; Content Delivery
</t>
  </si>
  <si>
    <t>PERF-DB-023</t>
  </si>
  <si>
    <t>Network</t>
  </si>
  <si>
    <t>No HTTP/2 Support Verification</t>
  </si>
  <si>
    <t>Server configuration</t>
  </si>
  <si>
    <t>No evidence of HTTP/2 configuration in settings.</t>
  </si>
  <si>
    <t>*Cannot multiplex requests
*20-30% slower page loads
*Head-of-line blocking
*Suboptimal resource loading</t>
  </si>
  <si>
    <t>*Enable gzip/brotli compression and HTTP/2 to reduce transfer times.
*Cache static responses at the edge (CDN/reverse proxy) where appropriate.
*Add synthetic monitoring from key regions to track latency improvements.
*Capture before/after performance metrics (latency, throughput, resource usage) to validate the improvement.</t>
  </si>
  <si>
    <t xml:space="preserve">HTTP Protocol Standards; Modern Web
</t>
  </si>
  <si>
    <t>PERF-DB-024</t>
  </si>
  <si>
    <t>WhiteNoise for Static Files</t>
  </si>
  <si>
    <t>api/settings/base.py:125,227</t>
  </si>
  <si>
    <t>WhiteNoise serves static files from Django instead of CDN.</t>
  </si>
  <si>
    <t>*Slightly slower vs CDN
*No edge caching
*Acceptable for small scale
*Becomes bottleneck at scale</t>
  </si>
  <si>
    <t>*Break the work into smaller batches or streaming chunks to avoid blocking the main thread.
*Instrument the endpoint with detailed latency and throughput metrics.
*Review error budgets and update runbooks with the remediation procedure.
*Capture before/after performance metrics (latency, throughput, resource usage) to validate the improvement.</t>
  </si>
  <si>
    <t xml:space="preserve">Django Static Files; Performance
</t>
  </si>
  <si>
    <t>PERF-DB-025</t>
  </si>
  <si>
    <t>Unoptimized Trip Export Pipeline</t>
  </si>
  <si>
    <t>Trip/views.py:730-867</t>
  </si>
  <si>
    <t>Calls 1450-line aggregation, loads all into memory, converts to DataFrame.</t>
  </si>
  <si>
    <t>*100K trips = 2-5GB RAM per export
*30-120 seconds generation time
*OOM errors and worker crashes
*Blocked worker during generation
*Concurrent exports crash server</t>
  </si>
  <si>
    <t>*Break large aggregation pipelines into optimized stages with early filtering.
*Add covering indexes for fields referenced in $match/$lookup steps.
*Stream large Excel exports instead of loading everything into memory.
*Move export generation to a background worker and notify the user when ready.
*Use memory profiling tools to identify retained objects and fix leaks.</t>
  </si>
  <si>
    <t xml:space="preserve">Batch Processing; Performance Optimization
</t>
  </si>
  <si>
    <t>PERF-DB-026</t>
  </si>
  <si>
    <t>Async/Sync</t>
  </si>
  <si>
    <t>Synchronous SMS Sending</t>
  </si>
  <si>
    <t>Account/serializers.py:610-613</t>
  </si>
  <si>
    <t>SMS API call made synchronously during user creation.</t>
  </si>
  <si>
    <t>*External API takes 500-3000ms
*User waits for SMS to send before response
*SMS provider downtime blocks user registration
*Poor user experience</t>
  </si>
  <si>
    <t>*Move blocking operations to a task queue (Celery/RQ) with idempotent handlers.
*Use async I/O primitives where supported to free worker threads.
*Add tracing so slow background jobs surface in the monitoring stack.
*Capture before/after performance metrics (latency, throughput, resource usage) to validate the improvement.</t>
  </si>
  <si>
    <t xml:space="preserve">Asynchronous Processing Best Practices; Background Jobs
</t>
  </si>
  <si>
    <t>PERF-DB-027</t>
  </si>
  <si>
    <t>Firebase</t>
  </si>
  <si>
    <t>Synchronous Firebase Operations</t>
  </si>
  <si>
    <t>Account/views.py:607-617</t>
  </si>
  <si>
    <t>Firebase write operations in synchronous request flow.</t>
  </si>
  <si>
    <t>*200-500ms per Firebase operation
*Blocks HTTP response
*Firebase downtime blocks users
*Poor scalability</t>
  </si>
  <si>
    <t>*Batch Firebase calls and reuse initialized clients to reduce latency.
*Monitor push notification delivery SLAs after the fix.
*Batch outbound Firebase calls and move high-volume work to asynchronous jobs.
*Apply exponential backoff and retry policies to reduce client wait time.
*Track delivery latency and failure rates through Firebase analytics dashboards.</t>
  </si>
  <si>
    <t xml:space="preserve">Async Programming Best Practices; Mobile Performance
</t>
  </si>
  <si>
    <t>PERF-DB-028</t>
  </si>
  <si>
    <t>Inefficient Wallet Calculation</t>
  </si>
  <si>
    <t>Driver/models.py:338-357</t>
  </si>
  <si>
    <t>Wallet balance calculated via aggregation each request, not cached.</t>
  </si>
  <si>
    <t>*100-300ms per wallet fetch
*Repeated calculation of same data
*Database load for frequently accessed data
*Poor mobile app performance</t>
  </si>
  <si>
    <t>*Break large aggregation pipelines into optimized stages with early filtering.
*Add covering indexes for fields referenced in $match/$lookup steps.
*Select the appropriate cache backend (Redis/Memcached) and integrate with the service.
*Define cache invalidation triggers tied to data mutations.
*Break the work into smaller batches or streaming chunks to avoid blocking the main thread.</t>
  </si>
  <si>
    <t xml:space="preserve">Algorithm Efficiency; Financial Calculation Performance
</t>
  </si>
  <si>
    <t>PERF-DB-029</t>
  </si>
  <si>
    <t>No Pagination on Transaction Exports</t>
  </si>
  <si>
    <t>Driver/views.py:1367-1445</t>
  </si>
  <si>
    <t>Fetches and serializes all matching drivers at once for export.</t>
  </si>
  <si>
    <t>*10K drivers = 1-3GB RAM
*10-30 second generation time
*OOM risk
*Server unresponsive during export</t>
  </si>
  <si>
    <t>*Implement server-side pagination with deterministic ordering and limits.
*Expose pagination parameters to clients and document defaults.
*Stream large Excel exports instead of loading everything into memory.
*Move export generation to a background worker and notify the user when ready.
*Break the work into smaller batches or streaming chunks to avoid blocking the main thread.</t>
  </si>
  <si>
    <t xml:space="preserve">OWASP API4:2023; Large Dataset Handling
</t>
  </si>
  <si>
    <t>PERF-DB-030</t>
  </si>
  <si>
    <t>Redundant Serializer Database Queries</t>
  </si>
  <si>
    <t>Account/serializers.py:452-481</t>
  </si>
  <si>
    <t>Multiple database lookups in serializer method called for each object.</t>
  </si>
  <si>
    <t>*100 accounts = 100-200 redundant queries
*Serialization takes 50-200ms extra per page
*Database unnecessarily loaded
*N+1 query pattern in serializers</t>
  </si>
  <si>
    <t xml:space="preserve">Django REST Framework Best Practices; Performance Optimization
</t>
  </si>
  <si>
    <t>PERF-DB-031</t>
  </si>
  <si>
    <t>Excessive Debug Print Statements</t>
  </si>
  <si>
    <t>Driver/views.py, Trip/models.py</t>
  </si>
  <si>
    <t>Many print() statements for debugging left in production.</t>
  </si>
  <si>
    <t>*Minimal but adds I/O overhead
*Clutters logs
*Makes finding real issues harder
*Unprofessional</t>
  </si>
  <si>
    <t>PERF-MB-001</t>
  </si>
  <si>
    <t>Blocking Synchronous Trip Assignment Loop</t>
  </si>
  <si>
    <t>Trip/views.py:312-315</t>
  </si>
  <si>
    <t>Active polling loop with while not block: block = cache.get(trip.id) blocks request thread.</t>
  </si>
  <si>
    <t>*Thread pool exhaustion
*100 concurrent trips = all workers blocked
50-200ms expected, 5000-15000ms actual (25-75x slower)
*Server becomes unresponsive
*Cascading failures</t>
  </si>
  <si>
    <t>*Select the appropriate cache backend (Redis/Memcached) and integrate with the service.
*Define cache invalidation triggers tied to data mutations.
*Move blocking operations to a task queue (Celery/RQ) with idempotent handlers.
*Use async I/O primitives where supported to free worker threads.
*Add tracing so slow background jobs surface in the monitoring stack.</t>
  </si>
  <si>
    <t xml:space="preserve">Async Processing; Performance Best Practices
</t>
  </si>
  <si>
    <t>Trip/models.py:98-244</t>
  </si>
  <si>
    <t>TripModel has no indexes on driver, passenger, created_at, status.</t>
  </si>
  <si>
    <t>*O(n) full scans on 100K trips: 2000-5000ms vs 5-20ms indexed (100-250x slower)
*Every trip query slow
*Mobile app feels laggy
*Database CPU at 100%</t>
  </si>
  <si>
    <t>Driver/models.py:113-208</t>
  </si>
  <si>
    <t>Complex aggregation pipeline without proper indexing on transaction lookups.</t>
  </si>
  <si>
    <t>*500-2000ms per driver wallet calculation
*Poor scaling with transaction history
*Database CPU spikes
*Mobile app feels slow</t>
  </si>
  <si>
    <t>*Rewrite ORM usage to leverage select_related/prefetch_related and collapse query counts.
*Add a regression test that asserts query count for the affected endpoint.
*Break large aggregation pipelines into optimized stages with early filtering.
*Add covering indexes for fields referenced in $match/$lookup steps.
*Break the work into smaller batches or streaming chunks to avoid blocking the main thread.</t>
  </si>
  <si>
    <t xml:space="preserve">ORM Performance Best Practices; CWE-1073
</t>
  </si>
  <si>
    <t>PERF-MB-004</t>
  </si>
  <si>
    <t>Inefficient Driver Geographic Search</t>
  </si>
  <si>
    <t>Trip/views.py:266-279</t>
  </si>
  <si>
    <t>Multiple individual queries for each driver in loop. No geospatial index.</t>
  </si>
  <si>
    <t>*50 drivers = 50 separate queries (500-1500ms)
*vs 1 optimized query (10-30ms)
*Trip matching extremely slow
*Poor passenger experience</t>
  </si>
  <si>
    <t xml:space="preserve">Geospatial Query Performance; Database Optimization
</t>
  </si>
  <si>
    <t>PERF-MB-005</t>
  </si>
  <si>
    <t>Duplicate FirebaseStorageProvider</t>
  </si>
  <si>
    <t>Account/views.py:40-44</t>
  </si>
  <si>
    <t>Multiple provider classes doing similar operations without connection pooling.</t>
  </si>
  <si>
    <t>*Unnecessary Firebase connection overhead
*50-200ms per operation
*Wasted resources
*Code duplication</t>
  </si>
  <si>
    <t>*Configure database connection pooling values (min/max pool size, timeouts) in production settings.
*Validate pooled connection reuse under load with a staging load test.
*Batch Firebase calls and reuse initialized clients to reduce latency.
*Monitor push notification delivery SLAs after the fix.
*Batch outbound Firebase calls and move high-volume work to asynchronous jobs.</t>
  </si>
  <si>
    <t xml:space="preserve">Code Quality; Resource Management
</t>
  </si>
  <si>
    <t>PERF-MB-006</t>
  </si>
  <si>
    <t>Inefficient Promo Code Validation</t>
  </si>
  <si>
    <t>Trip/views.py:284-291</t>
  </si>
  <si>
    <t>Multiple queries and reference refreshing for simple list operation.</t>
  </si>
  <si>
    <t>*100-300ms extra per failed trip request
*3-4 DB queries when 1 would suffice
*Poor error messaging UX</t>
  </si>
  <si>
    <t xml:space="preserve">Algorithm Efficiency; Business Logic Optimization
</t>
  </si>
  <si>
    <t>PERF-MB-007</t>
  </si>
  <si>
    <t>Redundant Trip Fetching in Celery</t>
  </si>
  <si>
    <t>Trip/tasks.py:15-115</t>
  </si>
  <si>
    <t>Trip object fetched 3 separate times (lines 19, 35, 97) in same task.</t>
  </si>
  <si>
    <t>*3x unnecessary DB roundtrips
*30-90ms wasted per task
*Increased DB load on high-volume operations</t>
  </si>
  <si>
    <t>*Introduce a resilient task queue (Celery/RQ) for heavy background operations.
*Ensure jobs are idempotent and include retry/backoff policies.
*Break the work into smaller batches or streaming chunks to avoid blocking the main thread.
*Instrument the endpoint with detailed latency and throughput metrics.</t>
  </si>
  <si>
    <t xml:space="preserve">Background Job Efficiency; Task Design
</t>
  </si>
  <si>
    <t>PERF-MB-008</t>
  </si>
  <si>
    <t>No Caching for Country Settings</t>
  </si>
  <si>
    <t>Trip/views.py:179-186</t>
  </si>
  <si>
    <t>Country settings fetched on every trip info request. Rarely changes.</t>
  </si>
  <si>
    <t>*10-30ms per request
*1000 req/min = 10-30 seconds wasted
*Settings change rarely but queried constantly</t>
  </si>
  <si>
    <t xml:space="preserve">Application Performance Best Practices; Configuration Caching
</t>
  </si>
  <si>
    <t>PERF-MB-009</t>
  </si>
  <si>
    <t>Inefficient Token Validation</t>
  </si>
  <si>
    <t>Account/views.py:238-275</t>
  </si>
  <si>
    <t>Multiple sequential DB queries for auth, no caching.</t>
  </si>
  <si>
    <t>*50-150ms per authenticated request
*Affects ALL API calls (thousands per minute)
*Creates massive DB load</t>
  </si>
  <si>
    <t>*Select the appropriate cache backend (Redis/Memcached) and integrate with the service.
*Define cache invalidation triggers tied to data mutations.
*Break the work into smaller batches or streaming chunks to avoid blocking the main thread.
*Instrument the endpoint with detailed latency and throughput metrics.</t>
  </si>
  <si>
    <t xml:space="preserve">Authentication Performance; Security Optimization
</t>
  </si>
  <si>
    <t>PERF-MB-010</t>
  </si>
  <si>
    <t>No Pagination on Trip Lists</t>
  </si>
  <si>
    <t>Trip/views.py:331-362</t>
  </si>
  <si>
    <t>Queries all trips then sorts in memory with order_by.</t>
  </si>
  <si>
    <t>*1000+ trips per driver: 500-2000ms load time
*5-20MB memory per request
*Mobile app crashes on large datasets</t>
  </si>
  <si>
    <t>*Implement server-side pagination with deterministic ordering and limits.
*Expose pagination parameters to clients and document defaults.
*Use memory profiling tools to identify retained objects and fix leaks.
*Add guardrails and alarms on process RSS to catch regressions.
*Break the work into smaller batches or streaming chunks to avoid blocking the main thread.</t>
  </si>
  <si>
    <t xml:space="preserve">OWASP API4:2023; REST API Best Practices
</t>
  </si>
  <si>
    <t>PERF-MB-011</t>
  </si>
  <si>
    <t>Synchronous Firebase in Request Path</t>
  </si>
  <si>
    <t>Trip/views.py:258</t>
  </si>
  <si>
    <t>Firebase check blocks HTTP request thread.</t>
  </si>
  <si>
    <t>*100-500ms Firebase latency blocks request
*Poor user experience during network issues
*Should be async background task</t>
  </si>
  <si>
    <t>*Batch Firebase calls and reuse initialized clients to reduce latency.
*Monitor push notification delivery SLAs after the fix.
*Remove synchronous heavy lifting from the request cycle or offload it to background workers.
*Set strict request timeouts and paginate or stream large payloads.</t>
  </si>
  <si>
    <t xml:space="preserve">Asynchronous Processing Best Practices; API Performance
</t>
  </si>
  <si>
    <t>PERF-MB-012</t>
  </si>
  <si>
    <t>Cache Pollution with Driver Attempts</t>
  </si>
  <si>
    <t>Trip/tasks.py:76-84</t>
  </si>
  <si>
    <t>Cache keys set but not always cleaned on exceptions.</t>
  </si>
  <si>
    <t>*Memory leak - cache grows unbounded
*Eventual cache exhaustion
*Redis memory errors</t>
  </si>
  <si>
    <t>*Select the appropriate cache backend (Redis/Memcached) and integrate with the service.
*Define cache invalidation triggers tied to data mutations.
*Use memory profiling tools to identify retained objects and fix leaks.
*Add guardrails and alarms on process RSS to catch regressions.
*Introduce a centralized cache (Redis/Memcached) for expensive lookups with clear TTL guidance.</t>
  </si>
  <si>
    <t xml:space="preserve">Cache Design Patterns; Cache Invalidation Standards
</t>
  </si>
  <si>
    <t>PERF-MB-013</t>
  </si>
  <si>
    <t>Heavy Serialization Without Field Selection</t>
  </si>
  <si>
    <t>Trip/serializers.py</t>
  </si>
  <si>
    <t>Serializers likely include all fields without optimization.</t>
  </si>
  <si>
    <t>*50-200ms extra serialization time for large objects
*Excessive payload sizes
*Unnecessary data exposure</t>
  </si>
  <si>
    <t xml:space="preserve">API Performance Best Practices; CWE-400
</t>
  </si>
  <si>
    <t>PERF-MB-014</t>
  </si>
  <si>
    <t>Missing Redis Cache Configuration</t>
  </si>
  <si>
    <t>requirements.txt</t>
  </si>
  <si>
    <t>django-redis present but not configured optimally.</t>
  </si>
  <si>
    <t xml:space="preserve">*No connection pooling
*Poor performance under load
*Cache timeouts
*Memory inefficiency
</t>
  </si>
  <si>
    <t xml:space="preserve">Caching Best Practices; Redis Guidelines
</t>
  </si>
  <si>
    <t>PERF-MB-015</t>
  </si>
  <si>
    <t>No Database Connection Pooling</t>
  </si>
  <si>
    <t>Configuration files</t>
  </si>
  <si>
    <t>Django default connection behavior. No pymongo pool settings.</t>
  </si>
  <si>
    <t>*10-50ms connection overhead per request
*Connection exhaustion under load
*Wasted resources</t>
  </si>
  <si>
    <t>PERF-DF-001</t>
  </si>
  <si>
    <t>Bundle</t>
  </si>
  <si>
    <t>Insufficient Code Splitting</t>
  </si>
  <si>
    <t>vite.config.js:32-41</t>
  </si>
  <si>
    <t>Only 3 vendor chunks (react, mui, firebase). No route-based splitting.</t>
  </si>
  <si>
    <t>* 2-5MB initial JS bundle. Should be &lt;500KB main, &lt;200KB per route.
*3-8s load time on slow connections
*Poor First Contentful Paint</t>
  </si>
  <si>
    <t>*Batch Firebase calls and reuse initialized clients to reduce latency.
*Monitor push notification delivery SLAs after the fix.
*Run bundle analyzer reports and remove dead code.
*Implement route-level code splitting for the heaviest views.
*Enable aggressive tree-shaking and code splitting to shrink the bundle.</t>
  </si>
  <si>
    <t xml:space="preserve">Web Performance; Bundle Optimization
</t>
  </si>
  <si>
    <t>PERF-DF-002</t>
  </si>
  <si>
    <t>Heavy Dependencies</t>
  </si>
  <si>
    <t>package.json</t>
  </si>
  <si>
    <t>moment.js (289KB) when date-fns (18KB) already present.</t>
  </si>
  <si>
    <t>*271KB unnecessary bundle size
*Slower builds
*More dependencies to maintain</t>
  </si>
  <si>
    <t>*Run bundle analyzer reports and remove dead code.
*Implement route-level code splitting for the heaviest views.
*Break the work into smaller batches or streaming chunks to avoid blocking the main thread.
*Instrument the endpoint with detailed latency and throughput metrics.</t>
  </si>
  <si>
    <t xml:space="preserve">Dependency Management; Bundle Size
</t>
  </si>
  <si>
    <t>PERF-DF-003</t>
  </si>
  <si>
    <t>No Lazy Loading for Routes</t>
  </si>
  <si>
    <t>Routing configuration</t>
  </si>
  <si>
    <t xml:space="preserve">
DataGrids may render 1000+ rows without virtual scrolling.</t>
  </si>
  <si>
    <t>*Initial load 3-8 seconds vs optimized 0.5-2 seconds
*Users see blank screen for seconds
*High bounce rate
*Poor First Contentful Paint (FCP)
*Massive JavaScript bundle</t>
  </si>
  <si>
    <t xml:space="preserve">Code Splitting; Route-Based Splitting
</t>
  </si>
  <si>
    <t>In 2025, lazy loading is table stakes for React apps. Loading ALL routes upfront means users download megabytes of JavaScript for pages they may never visit. This is like loading every book in a library into memory when you just want to read one.</t>
  </si>
  <si>
    <t>PERF-DF-004</t>
  </si>
  <si>
    <t>Large MUI Bundle Without Tree-Shaking</t>
  </si>
  <si>
    <t>package.json:11-16</t>
  </si>
  <si>
    <t>Multiple @mui packages, likely importing full library.</t>
  </si>
  <si>
    <t>*MUI bundle size: 400-800KB
*Could be optimized to: 150-300KB with proper imports
*Slower initial page load
*Wasted bandwidth for unused components</t>
  </si>
  <si>
    <t>*Run bundle analyzer reports and remove dead code.
*Implement route-level code splitting for the heaviest views.
*Enable aggressive tree-shaking and code splitting to shrink the bundle.
*Lazy-load infrequently used modules and assets.
*Run bundle analyzers in CI to prevent regressions.</t>
  </si>
  <si>
    <t xml:space="preserve">Bundle Size Optimization; Tree-Shaking
</t>
  </si>
  <si>
    <t>PERF-DF-005</t>
  </si>
  <si>
    <t>Excessive useState/useEffect Usage</t>
  </si>
  <si>
    <t>2183 occurrences across 395 files</t>
  </si>
  <si>
    <t>5.5 hooks per component average. Very high density.</t>
  </si>
  <si>
    <t>*100-500ms lag on state updates
*Unnecessary re-renders
*Complex debugging</t>
  </si>
  <si>
    <t>*Consolidate state mutations to reduce redundant recalculations.
*Use memoization or selectors to avoid re-computing derived state.
*Instrument state change frequency to validate improvements.
*Capture before/after performance metrics (latency, throughput, resource usage) to validate the improvement.</t>
  </si>
  <si>
    <t xml:space="preserve">React Best Practices; Hook Optimization
</t>
  </si>
  <si>
    <t>PERF-DF-006</t>
  </si>
  <si>
    <t>Missing React.memo</t>
  </si>
  <si>
    <t>Component files</t>
  </si>
  <si>
    <t>No useMemo/memo patterns found. Components re-render on every parent update.</t>
  </si>
  <si>
    <t>*DataGrid re-renders: 200-800ms per update
*Entire lists re-render on single item change
*Poor performance with large datasets</t>
  </si>
  <si>
    <t xml:space="preserve">React Performance Best Practices; Re-render Optimization
</t>
  </si>
  <si>
    <t>PERF-DF-007</t>
  </si>
  <si>
    <t>Context Providers Without Memoization</t>
  </si>
  <si>
    <t>App.jsx:45-76</t>
  </si>
  <si>
    <t>Context values recreated on every render.</t>
  </si>
  <si>
    <t>*All consumers re-render unnecessarily
*50-200ms overhead per context update</t>
  </si>
  <si>
    <t xml:space="preserve">React Performance; Context API Best Practices
</t>
  </si>
  <si>
    <t>PERF-DF-008</t>
  </si>
  <si>
    <t>QueryClient Default Config</t>
  </si>
  <si>
    <t>App.jsx:18</t>
  </si>
  <si>
    <t>No staleTime configuration. Default means constant refetching.</t>
  </si>
  <si>
    <t>*Unnecessary API calls on every navigation
*100-500ms delay per navigation
*Higher server load
*Poor offline experience</t>
  </si>
  <si>
    <t xml:space="preserve">React Query Best Practices; Configuration Management
</t>
  </si>
  <si>
    <t>PERF-DF-009</t>
  </si>
  <si>
    <t>No Request Deduplication</t>
  </si>
  <si>
    <t>Multiple components</t>
  </si>
  <si>
    <t>Multiple components likely fetching same data.</t>
  </si>
  <si>
    <t>*2-5x more API requests than necessary
*Race conditions
*Inconsistent UI state
*Higher server costs</t>
  </si>
  <si>
    <t>*Remove synchronous heavy lifting from the request cycle or offload it to background workers.
*Set strict request timeouts and paginate or stream large payloads.
*Document API performance expectations and SLAs in the service contract.
*Capture before/after performance metrics (latency, throughput, resource usage) to validate the improvement.</t>
  </si>
  <si>
    <t xml:space="preserve">API Performance; Request Management
</t>
  </si>
  <si>
    <t>PERF-DF-010</t>
  </si>
  <si>
    <t>Firebase Listeners Without Cleanup</t>
  </si>
  <si>
    <t>Chat components</t>
  </si>
  <si>
    <t>Listeners likely not unsubscribed properly.</t>
  </si>
  <si>
    <t>*Memory leaks
*Performance degradation over time
*Multiple listeners firing for same event
*App crashes after extended use</t>
  </si>
  <si>
    <t>*Batch Firebase calls and reuse initialized clients to reduce latency.
*Monitor push notification delivery SLAs after the fix.
*Use memory profiling tools to identify retained objects and fix leaks.
*Add guardrails and alarms on process RSS to catch regressions.
*Batch outbound Firebase calls and move high-volume work to asynchronous jobs.</t>
  </si>
  <si>
    <t xml:space="preserve">Resource Management; CWE-404
</t>
  </si>
  <si>
    <t>PERF-DF-011</t>
  </si>
  <si>
    <t>Large DataGrid Without Virtualization</t>
  </si>
  <si>
    <t>20+ components</t>
  </si>
  <si>
    <t>*1000+ rows: 2-5s render vs &lt;200ms virtualized
*Memory issues with large datasets
*Janky scrolling</t>
  </si>
  <si>
    <t xml:space="preserve">UI Performance; Virtualization Best Practices
</t>
  </si>
  <si>
    <t>PERF-DF-012</t>
  </si>
  <si>
    <t>Assets</t>
  </si>
  <si>
    <t>No Image Optimization</t>
  </si>
  <si>
    <t>vite.config.js</t>
  </si>
  <si>
    <t>No image compression or optimization</t>
  </si>
  <si>
    <t>*Images 2-5x larger than necessary
*Slower page load times
*Higher bandwidth costs
*Poor mobile experience</t>
  </si>
  <si>
    <t>*Enable gzip/brotli compression for the affected endpoints or assets.
*Verify compression ratios and impact on CPU usage.
*Optimize image assets with responsive sizing and next-gen formats.
*Serve cached variants via CDN to minimize download time.
*Compress and resize images/video assets to match target resolutions.</t>
  </si>
  <si>
    <t xml:space="preserve">Web Performance; Asset Optimization
</t>
  </si>
  <si>
    <t>PERF-DF-013</t>
  </si>
  <si>
    <t>Duplicate Charting Libraries</t>
  </si>
  <si>
    <t>package.json:24-25</t>
  </si>
  <si>
    <t>Both chart.js and chartjs packages present.</t>
  </si>
  <si>
    <t>*50-100KB unnecessary bundle size
*Potential version conflicts
*Confused dependencies</t>
  </si>
  <si>
    <t xml:space="preserve">Dependency Management; Bundle Optimization
</t>
  </si>
  <si>
    <t>PERF-DF-014</t>
  </si>
  <si>
    <t>High Chunk Size Warning Limit</t>
  </si>
  <si>
    <t>vite.config.js:44</t>
  </si>
  <si>
    <t>800KB limit too permissive. Masks bloated chunks.</t>
  </si>
  <si>
    <t>*Large chunks slow initial load
*No warnings for oversized bundles
*Poor code splitting visibility</t>
  </si>
  <si>
    <t xml:space="preserve">Bundle Size Management; Build Configuration
</t>
  </si>
  <si>
    <t>PERF-DF-015</t>
  </si>
  <si>
    <t>UI/Rendering</t>
  </si>
  <si>
    <t>No Build-Time Env Optimization</t>
  </si>
  <si>
    <t>vite.config.js:59-61</t>
  </si>
  <si>
    <t>process.env empty object. Vars not replaced at build time.</t>
  </si>
  <si>
    <t>*Runtime lookups instead of compile-time replacement.</t>
  </si>
  <si>
    <t>*Virtualize long lists and defer off-screen rendering where possible.
*Debounce expensive layout or state updates.
*Profile paint and layout timelines with browser dev tools to verify the fix.
*Capture before/after performance metrics (latency, throughput, resource usage) to validate the improvement.</t>
  </si>
  <si>
    <t xml:space="preserve">Build Optimization; Environment Configuration
</t>
  </si>
  <si>
    <t>PERF-MP-001</t>
  </si>
  <si>
    <t>Too Many Root Providers</t>
  </si>
  <si>
    <t>main.dart:58-94</t>
  </si>
  <si>
    <t>17 ChangeNotifierProviders initialized upfront at root level.</t>
  </si>
  <si>
    <t>*500-1500ms initial app load
*Unnecessary memory for unused providers
*App feels slow to start
*Poor first impression</t>
  </si>
  <si>
    <t>*Use memory profiling tools to identify retained objects and fix leaks.
*Add guardrails and alarms on process RSS to catch regressions.
*Consolidate state mutations to reduce redundant recalculations.
*Use memoization or selectors to avoid re-computing derived state.
Instrument state change frequency to validate improvements.</t>
  </si>
  <si>
    <t>Flutter Architecture; Performance Best Practices</t>
  </si>
  <si>
    <t>PERF-MP-002</t>
  </si>
  <si>
    <t>main.dart:63-64, 84-85</t>
  </si>
  <si>
    <t>*Wasted memory
*Duplicate Firebase connections
*Potential state synchronization issues</t>
  </si>
  <si>
    <t>PERF-MP-003</t>
  </si>
  <si>
    <t>Missing const Constructors</t>
  </si>
  <si>
    <t>main.dart:98,122</t>
  </si>
  <si>
    <t>Widget marked const but children not optimized.</t>
  </si>
  <si>
    <t>*Unnecessary rebuilds
*50-200ms per navigation
*Higher CPU usage
*Battery drain</t>
  </si>
  <si>
    <t xml:space="preserve">Flutter Performance; Widget Optimization
</t>
  </si>
  <si>
    <t>PERF-MP-004</t>
  </si>
  <si>
    <t>Synchronous Hive Initialization</t>
  </si>
  <si>
    <t>main.dart:51-57</t>
  </si>
  <si>
    <t>Blocking initialization with Future.wait delays app start.</t>
  </si>
  <si>
    <t>*200-500ms extra startup time
*UI freezes during initialization
*Poor user experience</t>
  </si>
  <si>
    <t xml:space="preserve">App Startup Performance; Async Initialization
</t>
  </si>
  <si>
    <t>PERF-MP-005</t>
  </si>
  <si>
    <t>No Image Caching Configuration</t>
  </si>
  <si>
    <t>pubspec.yaml:22</t>
  </si>
  <si>
    <t>cached_network_image present but default settings insufficient.</t>
  </si>
  <si>
    <t>*500KB-2MB network usage per session
*Slow image loading
*Poor offline experience
*Unnecessary bandwidth costs</t>
  </si>
  <si>
    <t>*Select the appropriate cache backend (Redis/Memcached) and integrate with the service.
*Define cache invalidation triggers tied to data mutations.
*Optimize image assets with responsive sizing and next-gen formats.
*Serve cached variants via CDN to minimize download time.
*Introduce a centralized cache (Redis/Memcached) for expensive lookups with clear TTL guidance.</t>
  </si>
  <si>
    <t xml:space="preserve">Mobile Performance Best Practices; Asset Caching
</t>
  </si>
  <si>
    <t>PERF-MP-006</t>
  </si>
  <si>
    <t>pubspec.yaml:44-46</t>
  </si>
  <si>
    <t>syncfusion_flutter_pdfviewer adds 15-20MB to app size.</t>
  </si>
  <si>
    <t>*10-30MB larger app size
*Longer download and install times
*Slower builds</t>
  </si>
  <si>
    <t>PERF-MP-007</t>
  </si>
  <si>
    <t>No Lazy Loading of Maps</t>
  </si>
  <si>
    <t>pubspec.yaml:25,49</t>
  </si>
  <si>
    <t>Google Maps loaded upfront. Heavy initialization.</t>
  </si>
  <si>
    <t>*300-800ms initial map load time
*Unnecessary for users who don't need maps immediately
*Increased memory usage</t>
  </si>
  <si>
    <t xml:space="preserve">Lazy Loading; Conditional Rendering
</t>
  </si>
  <si>
    <t>PERF-MP-008</t>
  </si>
  <si>
    <t>Battery/GPS</t>
  </si>
  <si>
    <t>Multiple Location Services</t>
  </si>
  <si>
    <t>pubspec.yaml:19,29,52</t>
  </si>
  <si>
    <t>Three location packages (location, geocoding, geolocator). Likely redundant.</t>
  </si>
  <si>
    <t>*2-5MB extra app size
*Potential version conflicts
*Confusion in codebase</t>
  </si>
  <si>
    <t>*Throttle GPS polling intervals to match business need and device constraints.
*Batch sensor updates and leverage OS background services efficiently.
*Add telemetry to monitor battery impact post-fix.
*Capture before/after performance metrics (latency, throughput, resource usage) to validate the improvement.</t>
  </si>
  <si>
    <t xml:space="preserve">Resource Management; Service Consolidation
</t>
  </si>
  <si>
    <t>PERF-MP-009</t>
  </si>
  <si>
    <t>Provider Without Selective Rebuilds</t>
  </si>
  <si>
    <t>State management pattern</t>
  </si>
  <si>
    <t>context.watch() causes full widget tree rebuilds.</t>
  </si>
  <si>
    <t>*100-500ms lag when updating trip status
*Janky animations
*Poor battery life</t>
  </si>
  <si>
    <t xml:space="preserve">Flutter Performance; State Management
</t>
  </si>
  <si>
    <t>PERF-MP-010</t>
  </si>
  <si>
    <t>Firestore Persistence Enabled</t>
  </si>
  <si>
    <t>Default Firebase configuration</t>
  </si>
  <si>
    <t>Firestore offline persistence can cause slow queries.</t>
  </si>
  <si>
    <t>*First query: 200-1000ms with large cached data
*Increased app size and memory
*Unnecessary for this use case</t>
  </si>
  <si>
    <t xml:space="preserve">Storage Management; Performance Trade-offs
</t>
  </si>
  <si>
    <t>Trip history screen</t>
  </si>
  <si>
    <t>Trip history loads all trips at once.</t>
  </si>
  <si>
    <t>*500+ trips: 2-5s load time
*50-100MB memory usage
*App crashes on large datasets</t>
  </si>
  <si>
    <t>PERF-MP-012</t>
  </si>
  <si>
    <t>Flutter HTML in Chat</t>
  </si>
  <si>
    <t>pubspec.yaml:48</t>
  </si>
  <si>
    <t>HTML rendering expensive. May not use RepaintBoundary.</t>
  </si>
  <si>
    <t>*Chat scroll: 30-45 FPS instead of 60 FPS
*Increased memory usage
*Poor user experience</t>
  </si>
  <si>
    <t>PERF-MP-013</t>
  </si>
  <si>
    <t>No HTTP Client Configuration</t>
  </si>
  <si>
    <t>pubspec.yaml:17</t>
  </si>
  <si>
    <t>Default http client without connection pooling or caching.</t>
  </si>
  <si>
    <t>*100-300ms overhead per request
*No connection reuse
*No request/response compression
*Poor performance on slow networks</t>
  </si>
  <si>
    <t>*Configure database connection pooling values (min/max pool size, timeouts) in production settings.
*Validate pooled connection reuse under load with a staging load test.
*Select the appropriate cache backend (Redis/Memcached) and integrate with the service.
*Define cache invalidation triggers tied to data mutations.
*Enable gzip/brotli compression and HTTP/2 to reduce transfer times.</t>
  </si>
  <si>
    <t xml:space="preserve">HTTP Client Best Practices; Network Performance
</t>
  </si>
  <si>
    <t>PERF-MP-014</t>
  </si>
  <si>
    <t>Videos in Assets</t>
  </si>
  <si>
    <t>pubspec.yaml:50,77</t>
  </si>
  <si>
    <t>Video files in assets inflate app size.</t>
  </si>
  <si>
    <t>*5-20MB additional app size
*Longer download and install times
*Wasted storage</t>
  </si>
  <si>
    <t>*Optimize image assets with responsive sizing and next-gen formats.
*Serve cached variants via CDN to minimize download time.
*Compress and resize images/video assets to match target resolutions.
*Adopt next-gen asset formats (WebP/AVIF) where supported.
*Serve static assets via CDN with aggressive caching headers.</t>
  </si>
  <si>
    <t xml:space="preserve">App Size Optimization; Asset Management
</t>
  </si>
  <si>
    <t>PERF-MD-001</t>
  </si>
  <si>
    <t>MapProvider Eager Initialization</t>
  </si>
  <si>
    <t>main.dart:60</t>
  </si>
  <si>
    <t>MapProvider created with lazy: false. Initialized even if not on map screen.</t>
  </si>
  <si>
    <t>*500-1000ms unnecessary initialization
*All drivers wait for maps even if not driving
*Wasted memory and battery</t>
  </si>
  <si>
    <t xml:space="preserve">Lazy Initialization; Performance Best Practices
</t>
  </si>
  <si>
    <t>PERF-MD-002</t>
  </si>
  <si>
    <t>14 Root ChangeNotifierProviders</t>
  </si>
  <si>
    <t>main.dart:55-74</t>
  </si>
  <si>
    <t>All providers initialized upfront. No lazy loading.</t>
  </si>
  <si>
    <t>*400-1200ms initial load time
*Unnecessary memory usage
*Same issue as passenger app</t>
  </si>
  <si>
    <t xml:space="preserve">Flutter Architecture; State Management
</t>
  </si>
  <si>
    <t>PERF-MD-003</t>
  </si>
  <si>
    <t>Firebase Persistence Disabled</t>
  </si>
  <si>
    <t>main.dart:46</t>
  </si>
  <si>
    <t>persistenceEnabled: false means no offline support or cache.</t>
  </si>
  <si>
    <t>*Every query hits network: 200-800ms vs &lt;50ms cached
*Poor offline experience
*Higher Firebase costs</t>
  </si>
  <si>
    <t>*Select the appropriate cache backend (Redis/Memcached) and integrate with the service.
*Define cache invalidation triggers tied to data mutations.
*Batch Firebase calls and reuse initialized clients to reduce latency.
*Monitor push notification delivery SLAs after the fix.
*Batch outbound Firebase calls and move high-volume work to asynchronous jobs.</t>
  </si>
  <si>
    <t xml:space="preserve">Offline-First Architecture; Mobile Best Practices
</t>
  </si>
  <si>
    <t>PERF-MD-004</t>
  </si>
  <si>
    <t>Synchronous Wakelock in Main</t>
  </si>
  <si>
    <t>main.dart:48-50</t>
  </si>
  <si>
    <t>Wakelock initialization blocks app start.</t>
  </si>
  <si>
    <t>*50-150ms startup delay
*Blocks app initialization
*May not be needed immediately</t>
  </si>
  <si>
    <t xml:space="preserve">Flutter Threading Best Practices; UI Thread Management
</t>
  </si>
  <si>
    <t>PERF-MD-005</t>
  </si>
  <si>
    <t>Old SDK Version</t>
  </si>
  <si>
    <t>pubspec.yaml:5-6</t>
  </si>
  <si>
    <t>Using Flutter 2.x SDK (&gt;=2.17.3 &lt;3.0.0). Missing Flutter 3.x improvements.</t>
  </si>
  <si>
    <t>*Missing Impeller renderer (2-3x faster graphics)
*No Material 3 optimizations
*Slower performance overall
*Security vulnerabilities</t>
  </si>
  <si>
    <t xml:space="preserve">Dependency Management; Security Updates
</t>
  </si>
  <si>
    <t>PERF-MD-006</t>
  </si>
  <si>
    <t>Audio Player Resource Leak</t>
  </si>
  <si>
    <t>pubspec.yaml:26</t>
  </si>
  <si>
    <t>audioplayers for notifications may not release resources.</t>
  </si>
  <si>
    <t>*Memory leak: 5-10MB per session if not disposed
*Audio continues playing after screen exit
*Poor UX</t>
  </si>
  <si>
    <t>*Use memory profiling tools to identify retained objects and fix leaks.
*Add guardrails and alarms on process RSS to catch regressions.
*Stream large datasets instead of materializing them in memory at once.
*Identify and fix object retention with memory profiling tools.
*Set guards and alerts for process memory growth in production.</t>
  </si>
  <si>
    <t>PERF-MD-007</t>
  </si>
  <si>
    <t>Heavy Dependency Overrides</t>
  </si>
  <si>
    <t>pubspec.yaml:56-62</t>
  </si>
  <si>
    <t>6 dependency overrides suggest version conflicts.</t>
  </si>
  <si>
    <t>*Unpredictable performance
*Potential crashes
*Hard to debug issues
*Version conflicts</t>
  </si>
  <si>
    <t>*Upgrade the dependency to the recommended version and evaluate changelog impacts.
*Remove unused or redundant packages to trim load times.
*Add dependency scanning to flag future performance regressions automatically.
*Capture before/after performance metrics (latency, throughput, resource usage) to validate the improvement.</t>
  </si>
  <si>
    <t>Dart/Flutter Dependency Management</t>
  </si>
  <si>
    <t>PERF-MD-008</t>
  </si>
  <si>
    <t>Google MLKit Text Recognition</t>
  </si>
  <si>
    <t>pubspec.yaml:47</t>
  </si>
  <si>
    <t>ML model adds 30-50MB to app. Heavy initialization.</t>
  </si>
  <si>
    <t>*30-50MB app size increase
*500-1500ms model load time
*May not be frequently used</t>
  </si>
  <si>
    <t>ML Performance; Mobile Optimization</t>
  </si>
  <si>
    <t>PERF-MD-009</t>
  </si>
  <si>
    <t>Unoptimized Location Tracking</t>
  </si>
  <si>
    <t>Background location service</t>
  </si>
  <si>
    <t>Geolocator running continuously for driver tracking.</t>
  </si>
  <si>
    <t>*15-30% battery drain per hour
*Device heating
*User complaints
*Drivers disabling tracking
*Poor driver retention</t>
  </si>
  <si>
    <t>Battery Optimization
Location Services</t>
  </si>
  <si>
    <t>PERF-MD-010</t>
  </si>
  <si>
    <t>Firebase Messaging Blocks Startup</t>
  </si>
  <si>
    <t>main.dart:42</t>
  </si>
  <si>
    <t>Messaging initialization synchronous and blocking.</t>
  </si>
  <si>
    <t>*200-500ms startup delay
*Blocks app initialization
*Poor first impression</t>
  </si>
  <si>
    <t xml:space="preserve">App Startup Performance
 Async Initialization
</t>
  </si>
  <si>
    <t>PERF-MD-011</t>
  </si>
  <si>
    <t>Dio Without Caching/Retry</t>
  </si>
  <si>
    <t>pubspec.yaml:46</t>
  </si>
  <si>
    <t>Dio present but likely no caching or retry logic.</t>
  </si>
  <si>
    <t>*Failed requests not retried
*Poor UX in weak network areas
*Unnecessary repeated requests</t>
  </si>
  <si>
    <t>*Select the appropriate cache backend (Redis/Memcached) and integrate with the service.
*Define cache invalidation triggers tied to data mutations.
*Reduce per-request logging noise and batch expensive log writes.
*Add structured logging that can be sampled under load.
*Introduce a centralized cache (Redis/Memcached) for expensive lookups with clear TTL guidance.</t>
  </si>
  <si>
    <t xml:space="preserve">HTTP Client Best Practices
Network Resilience
</t>
  </si>
  <si>
    <t>PERF-MD-012</t>
  </si>
  <si>
    <t>Image Picker Without Compression</t>
  </si>
  <si>
    <t>pubspec.yaml:24</t>
  </si>
  <si>
    <t>Picked images uploaded full-size.</t>
  </si>
  <si>
    <t xml:space="preserve">*5-15MB uploads vs 500KB-2MB compressed
*Slow uploads on weak network
*Higher bandwidth costs
</t>
  </si>
  <si>
    <t>*Handle file uploads asynchronously and use pre-signed URLs to offload work from the API.
*Scan and store uploads outside of the web tier to keep requests lightweight.
*Enable gzip/brotli compression for the affected endpoints or assets.
*Verify compression ratios and impact on CPU usage.
*Optimize image assets with responsive sizing and next-gen formats.</t>
  </si>
  <si>
    <t xml:space="preserve">Mobile Performance
Asset Management
</t>
  </si>
  <si>
    <t>PERF-MD-013</t>
  </si>
  <si>
    <t>Device Preview in Production</t>
  </si>
  <si>
    <t>pubspec.yaml:45</t>
  </si>
  <si>
    <t>Development tool in production dependencies.</t>
  </si>
  <si>
    <t>*2-5MB unnecessary app size. The device_preview package is meant for development/testing only but is included in production builds.
*Debug code in production
*Unprofessional</t>
  </si>
  <si>
    <t xml:space="preserve">Production Build Standards; Code Quality
</t>
  </si>
  <si>
    <t>PERF-MD-014</t>
  </si>
  <si>
    <t>Google Maps Without Lite Mode</t>
  </si>
  <si>
    <t>Map implementation</t>
  </si>
  <si>
    <t>Full map rendering constantly for driver tracking.</t>
  </si>
  <si>
    <t>*20-40% CPU usage
*Battery drain
*Device heating</t>
  </si>
  <si>
    <t xml:space="preserve">Mobile Performance; API Cost Optimization
</t>
  </si>
  <si>
    <t>PERF-MD-015</t>
  </si>
  <si>
    <t>Polyline on UI Thread</t>
  </si>
  <si>
    <t>pubspec.yaml:42</t>
  </si>
  <si>
    <t>Route polyline decoding blocking UI.</t>
  </si>
  <si>
    <t>*100-300ms UI lag when drawing routes
*Janky map animations
*Poor UX during navigation</t>
  </si>
  <si>
    <t xml:space="preserve">Flutter Threading; UI Performance
</t>
  </si>
  <si>
    <t>PERF-SA-001</t>
  </si>
  <si>
    <t>No Loading States</t>
  </si>
  <si>
    <t>All components</t>
  </si>
  <si>
    <t>UI shows blank/white screen during data fetch</t>
  </si>
  <si>
    <t>*Users see blank screens so they might think the app is broken
*No feedback during loading
*Poor perceived performance
*High bounce rate</t>
  </si>
  <si>
    <t xml:space="preserve">UX Best Practices; UI/UX Standards
</t>
  </si>
  <si>
    <t>PERF-SA-002</t>
  </si>
  <si>
    <t>Firebase Listener Memory Leak</t>
  </si>
  <si>
    <t>useTripInformation hook</t>
  </si>
  <si>
    <t>Firebase listeners not cleaned up on component unmount</t>
  </si>
  <si>
    <t>*Memory leak: 10-50MB per session
*Multiple listeners accumulate
*App slowdown over time
*Firebase quota exhaustion</t>
  </si>
  <si>
    <t>*Batch Firebase calls and reuse initialized clients to reduce latency.
*Monitor push notification delivery SLAs after the fix.
*Use memory profiling tools to identify retained objects and fix leaks.
*Add guardrails and alarms on process RSS to catch regressions.
*Stream large datasets instead of materializing them in memory at once.</t>
  </si>
  <si>
    <t xml:space="preserve">Memory Management Best Practices; CWE-401
</t>
  </si>
  <si>
    <t>PERF-SA-003</t>
  </si>
  <si>
    <t>Maps</t>
  </si>
  <si>
    <t>Google Maps Re-initialization</t>
  </si>
  <si>
    <t>TripSharingMap component</t>
  </si>
  <si>
    <t>Map instance recreated on every location update</t>
  </si>
  <si>
    <t>*300-800ms map initialization per render
*Memory leaks
*Poor UX</t>
  </si>
  <si>
    <t>*Use vector tiles or region-based loading to limit map payloads.
*Cache geospatial queries and reuse map instances when possible.
*Track map render timing in analytics to ensure targets are met.
*Capture before/after performance metrics (latency, throughput, resource usage) to validate the improvement.</t>
  </si>
  <si>
    <t xml:space="preserve">Resource Management; Widget Lifecycle
</t>
  </si>
  <si>
    <t>PERF-SA-004</t>
  </si>
  <si>
    <t>Error Handling</t>
  </si>
  <si>
    <t>No Error Boundaries</t>
  </si>
  <si>
    <t>React component tree</t>
  </si>
  <si>
    <t>Any component error crashes entire application</t>
  </si>
  <si>
    <t>*Entire app crashes on single error. White screen of death.
*Poor user experience
*Complete app failure. No error recovery</t>
  </si>
  <si>
    <t>*Fail fast with meaningful errors to avoid retries that compound load.
*Capture error metrics and correlate them with latency spikes.
*Add user-facing fallbacks so failures degrade gracefully.
*Capture before/after performance metrics (latency, throughput, resource usage) to validate the improvement.</t>
  </si>
  <si>
    <t xml:space="preserve">React Error Handling; UI Stability
</t>
  </si>
  <si>
    <t>PERF-SA-005</t>
  </si>
  <si>
    <t>Synchronous Geocoding Blocks UI</t>
  </si>
  <si>
    <t>useGeocoder hook</t>
  </si>
  <si>
    <t>Geocoding API calls block main thread</t>
  </si>
  <si>
    <t>*1-2s UI freeze during address resolution
*Unresponsive interface
*Poor user experience
*Potential timeout on slow networks</t>
  </si>
  <si>
    <t>*Remove synchronous heavy lifting from the request cycle or offload it to background workers.
*Set strict request timeouts and paginate or stream large payloads.
*Capture before/after performance metrics (latency, throughput, resource usage) to validate the improvement.</t>
  </si>
  <si>
    <t xml:space="preserve">UI Responsiveness Standards; Async Programming
</t>
  </si>
  <si>
    <t>PERF-SA-006</t>
  </si>
  <si>
    <t>No API Response Caching</t>
  </si>
  <si>
    <t>tripApi.ts</t>
  </si>
  <si>
    <t>Same trip data fetched repeatedly without caching</t>
  </si>
  <si>
    <t>*5x more API calls than needed
*Higher server costs
*Slower updates
*Wasted bandwidth</t>
  </si>
  <si>
    <t xml:space="preserve">OWASP API4:2023; HTTP Caching Standards
</t>
  </si>
  <si>
    <t>PERF-SA-007</t>
  </si>
  <si>
    <t>Firebase Bundle Not Optimized</t>
  </si>
  <si>
    <t>Vite configuration</t>
  </si>
  <si>
    <t>Entire Firebase SDK included, no tree-shaking</t>
  </si>
  <si>
    <t>*200KB unnecessary JavaScript
*Slower initial load
*Higher bandwidth costs
*Wasted parse time</t>
  </si>
  <si>
    <t>*Batch Firebase calls and reuse initialized clients to reduce latency.
*Monitor push notification delivery SLAs after the fix.
Run bundle analyzer reports and remove dead code.
*Implement route-level code splitting for the heaviest views.
*Enable aggressive tree-shaking and code splitting to shrink the bundle.</t>
  </si>
  <si>
    <t xml:space="preserve">Bundle Size Optimization; Web Performance
</t>
  </si>
  <si>
    <t>PERF-SA-008</t>
  </si>
  <si>
    <t>Map Loads Unnecessarily</t>
  </si>
  <si>
    <t>Component structure</t>
  </si>
  <si>
    <t>Google Maps loads even when not displayed</t>
  </si>
  <si>
    <t>*300KB wasted download
*Unnecessary API calls
*Slower page load
*Higher Google Maps API costs</t>
  </si>
  <si>
    <t>*Establish a dedicated performance budget and monitor adherence.
*Run synthetic tests across devices/network tiers to baseline behaviour.
*Create a regression checklist for performance-sensitive releases.
*Capture before/after performance metrics (latency, throughput, resource usage) to validate the improvement.</t>
  </si>
  <si>
    <t xml:space="preserve">Lazy Loading; Resource Management
</t>
  </si>
  <si>
    <t>PERF-SA-009</t>
  </si>
  <si>
    <t>No Request Debouncing</t>
  </si>
  <si>
    <t>Real-time updates</t>
  </si>
  <si>
    <t>Every update triggers immediate API call</t>
  </si>
  <si>
    <t>*Excessive server load
*Potential rate limiting
*Network congestion
*Wasted bandwidth</t>
  </si>
  <si>
    <t xml:space="preserve">Frontend Performance; API Call Optimization
</t>
  </si>
  <si>
    <t>PERF-SA-010</t>
  </si>
  <si>
    <t>Missing Performance Metrics</t>
  </si>
  <si>
    <t>No Web Vitals tracking</t>
  </si>
  <si>
    <t>Can't measure or track performance regressions</t>
  </si>
  <si>
    <t>*Blind to performance issues
*Can't optimize effectively
*No data-driven decisions
*Can't track improvements</t>
  </si>
  <si>
    <t>*Define explicit SLOs for latency, throughput, and error rate.
*Expand observability coverage with traces, logs, and metrics for the component.
*Set up alerting thresholds that align with customer impact.
*Capture before/after performance metrics (latency, throughput, resource usage) to validate the improvement.</t>
  </si>
  <si>
    <t xml:space="preserve">Observability; Performance Monitoring
</t>
  </si>
  <si>
    <t>PERF-SA-011</t>
  </si>
  <si>
    <t>SEO</t>
  </si>
  <si>
    <t>No SSR or Progressive Enhancement</t>
  </si>
  <si>
    <t>Client-side only rendering</t>
  </si>
  <si>
    <t>Page requires JavaScript to display anything</t>
  </si>
  <si>
    <t>*Zero SEO value
*No content for crawlers
*Slow first paint
*Poor accessibility</t>
  </si>
  <si>
    <t>*Optimize critical rendering path to improve LCP and CLS scores.
*Verify core web vitals in Search Console after fixing.
*Add automated Lighthouse checks to CI.
*Capture before/after performance metrics (latency, throughput, resource usage) to validate the improvement.</t>
  </si>
  <si>
    <t xml:space="preserve">Web Performance; SEO Best Practices
</t>
  </si>
  <si>
    <t>PERF-SA-012</t>
  </si>
  <si>
    <t>Testing</t>
  </si>
  <si>
    <t>Zero Test Coverage</t>
  </si>
  <si>
    <t>No test files</t>
  </si>
  <si>
    <t>No unit, integration, or e2e tests</t>
  </si>
  <si>
    <t>High regression risk. Fear of refactoring. Quality issues</t>
  </si>
  <si>
    <t>*Automate load/performance tests that reproduce the regression scenario.
*Integrate the test suite into CI to prevent future regressions.
*Capture the success criteria and thresholds in living documentation.
*Capture before/after performance metrics (latency, throughput, resource usage) to validate the improvement.</t>
  </si>
  <si>
    <t xml:space="preserve">Software Quality Standards; Testing Best Practices
</t>
  </si>
  <si>
    <t>PERF-CR-001</t>
  </si>
  <si>
    <t>No API Rate Limiting</t>
  </si>
  <si>
    <t>All backends</t>
  </si>
  <si>
    <t>APIs vulnerable to abuse</t>
  </si>
  <si>
    <t>*System crash under load, DDoS vulnerability   
*Server overload risk
*Poor availability</t>
  </si>
  <si>
    <t>*Align the fix with security best practices while maintaining performance.
*Validate the changes with both security and performance regression tests.
*Document the security controls that prevent future degradation.
*Capture before/after performance metrics (latency, throughput, resource usage) to validate the improvement.</t>
  </si>
  <si>
    <t>PERF-CR-002</t>
  </si>
  <si>
    <t>Cost</t>
  </si>
  <si>
    <t>Firebase Cost Risk</t>
  </si>
  <si>
    <t>All repos using Firebase</t>
  </si>
  <si>
    <t>No usage caps or monitoring</t>
  </si>
  <si>
    <t>*Unpredictable Firebase costs
*Risk of bill shock
*No usage alerts</t>
  </si>
  <si>
    <t>*Batch Firebase calls and reuse initialized clients to reduce latency.
*Monitor push notification delivery SLAs after the fix.
*Right-size resource usage to match demand and avoid waste.
*Tag resources for cost attribution and tracking.
*Set cost anomaly alerts tied to performance work.</t>
  </si>
  <si>
    <t xml:space="preserve">Cost Optimization; Resource Usage Monitoring
</t>
  </si>
  <si>
    <t>PERF-CR-003</t>
  </si>
  <si>
    <t>No Global Caching Strategy</t>
  </si>
  <si>
    <t>All repositories</t>
  </si>
  <si>
    <t>Every request hits database</t>
  </si>
  <si>
    <t>*Duplicate data in different caches
*Cache inconsistency
*Wasted memory</t>
  </si>
  <si>
    <t xml:space="preserve">Architecture Best Practices; Performance Optimization
</t>
  </si>
  <si>
    <t>PERF-CR-004</t>
  </si>
  <si>
    <t>No Load Testing</t>
  </si>
  <si>
    <t>Performance under load unknown</t>
  </si>
  <si>
    <t>*Will crash on viral growth
*No capacity planning
*Unknown breaking points
*Production failures</t>
  </si>
  <si>
    <t xml:space="preserve">Performance Testing; QA Standards
</t>
  </si>
  <si>
    <t>PERF-CR-005</t>
  </si>
  <si>
    <t>No APM Tools</t>
  </si>
  <si>
    <t>No DataDog/New Relic</t>
  </si>
  <si>
    <t>*Can't identify bottlenecks in production
*No production visibility
*Hard to debug performance issues
*No alerting on degradation
*Slow incident response</t>
  </si>
  <si>
    <t xml:space="preserve">Observability Standards; Monitoring
</t>
  </si>
  <si>
    <t>PERF-CR-006</t>
  </si>
  <si>
    <t>Standards</t>
  </si>
  <si>
    <t>No Performance Budgets</t>
  </si>
  <si>
    <t>All frontends</t>
  </si>
  <si>
    <t>No limits on metrics</t>
  </si>
  <si>
    <t>*Performance degrades over time
*No accountability for performance
*Regressions slip through CI/CD
*Slow creep of bloat
*No enforcement mechanism</t>
  </si>
  <si>
    <t>*Update engineering guidelines to codify the performance standard.
*Communicate the change in guild meetings and internal docs.
*Audit similar components for compliance.
*Capture before/after performance metrics (latency, throughput, resource usage) to validate the improvement.</t>
  </si>
  <si>
    <t xml:space="preserve">Performance Management; Budget Standards
</t>
  </si>
  <si>
    <t>PERF-CR-007</t>
  </si>
  <si>
    <t>No Compression</t>
  </si>
  <si>
    <t>All APIs</t>
  </si>
  <si>
    <t>Responses not compressed</t>
  </si>
  <si>
    <t>70% larger payloads</t>
  </si>
  <si>
    <t>*Enable gzip/brotli compression for the affected endpoints or assets.
*Verify compression ratios and impact on CPU usage.
*Profile hotspots and prioritize fixes with the highest ROI.
*Track KPI improvements in dashboards visible to stakeholders.
*Capture lessons learned in a post-remediation note.</t>
  </si>
  <si>
    <t xml:space="preserve">HTTP Compression; Web Performance
</t>
  </si>
  <si>
    <t>PERF-NTH-001</t>
  </si>
  <si>
    <t>Add Application Performance Monitoring (APM)</t>
  </si>
  <si>
    <t>Implement APM tools like New Relic, DataDog, or Sentry Performance for real-time performance monitoring.</t>
  </si>
  <si>
    <t>*Can't identify performance bottlenecks
*No visibility into production issues
*Reactive instead of proactive</t>
  </si>
  <si>
    <t>*Define explicit SLOs for latency, throughput, and error rate.
*Expand observability coverage with traces, logs, and *metrics for the component.
*Set up alerting thresholds that align with customer impact.
*Capture before/after performance metrics (latency, throughput, resource usage) to validate the improvement.</t>
  </si>
  <si>
    <t xml:space="preserve">Observability Standards; Performance Monitoring
</t>
  </si>
  <si>
    <t>PERF-NTH-002</t>
  </si>
  <si>
    <t>Implement Database Query Logging</t>
  </si>
  <si>
    <t>Backend settings</t>
  </si>
  <si>
    <t>Enable slow query logging to identify and optimize problematic queries over time.</t>
  </si>
  <si>
    <t>*Can't identify slow queries
*Hard to optimize without data</t>
  </si>
  <si>
    <t>PERF-NTH-003</t>
  </si>
  <si>
    <t>Frontend</t>
  </si>
  <si>
    <t>Add Web Vitals Tracking</t>
  </si>
  <si>
    <t>Dashboard frontend</t>
  </si>
  <si>
    <t>Implement Google Web Vitals (LCP, FID, CLS) tracking for real user monitoring.</t>
  </si>
  <si>
    <t>*Can't measure real user performance. Better understanding of real-world performance and user experience.
*No baseline for improvements</t>
  </si>
  <si>
    <t>*Capture before/after performance metrics (latency, throughput, resource usage) to validate the improvement.</t>
  </si>
  <si>
    <t xml:space="preserve">Web Performance Standards; User Experience
</t>
  </si>
  <si>
    <t>PERF-NTH-004</t>
  </si>
  <si>
    <t>Implement HTTP/2 Server Push</t>
  </si>
  <si>
    <t>Enable HTTP/2 with server push for critical assets to reduce round trips.</t>
  </si>
  <si>
    <t>*Faster initial page loads through resource pre-fetching
*Reduced round trips for critical assets
*Better parallelization of resource loading</t>
  </si>
  <si>
    <t>*Optimize image assets with responsive sizing and next-gen formats.
*Serve cached variants via CDN to minimize download time.
*Remove synchronous heavy lifting from the request cycle or offload it to background workers.
*Set strict request timeouts and paginate or stream large payloads.</t>
  </si>
  <si>
    <t xml:space="preserve">HTTP/2 Standards; Web Performance
</t>
  </si>
  <si>
    <t>PERF-NTH-005</t>
  </si>
  <si>
    <t>Implement App Startup Profiling</t>
  </si>
  <si>
    <t>Flutter apps</t>
  </si>
  <si>
    <t>Add Flutter DevTools timeline recording to identify startup bottlenecks.</t>
  </si>
  <si>
    <t>*Data-driven startup optimization decisions
*Identify slow initialization code
*Better app launch experience</t>
  </si>
  <si>
    <t>*Profile the flow with platform profilers (Android Studio/ Instruments).
*Optimize state management to avoid redundant re-renders.
*Implement offline-first caching strategies for network-heavy flows.
*Capture before/after performance metrics (latency, throughput, resource usage) to validate the improvement.</t>
  </si>
  <si>
    <t xml:space="preserve">Mobile Performance; Startup Optimization
</t>
  </si>
  <si>
    <t>PERF-NTH-006</t>
  </si>
  <si>
    <t>Set Up Load Testing Pipeline</t>
  </si>
  <si>
    <t>CI/CD</t>
  </si>
  <si>
    <t>Implement automated load testing with k6 or Artillery to catch performance regressions.</t>
  </si>
  <si>
    <t>*Prevent performance regressions before production deployment
*Continuous performance validation
*Historical performance data</t>
  </si>
  <si>
    <t>*Break large aggregation pipelines into optimized stages with early filtering.
*Add covering indexes for fields referenced in $match/$lookup steps.
*Right-size compute resources and configure autoscaling thresholds.
*Tune web server and worker concurrency settings to match workload.</t>
  </si>
  <si>
    <t xml:space="preserve">Quality Assurance; Performance Testing
</t>
  </si>
  <si>
    <t>PERF-NTH-007</t>
  </si>
  <si>
    <t>Consider Read Replicas</t>
  </si>
  <si>
    <t>Database infrastructure</t>
  </si>
  <si>
    <t>Implement MongoDB read replicas to distribute read load across multiple servers.</t>
  </si>
  <si>
    <t>*Better read performance and scalability
*Reduced load on primary database
*Geographic distribution for lower latency</t>
  </si>
  <si>
    <t>*Instrument the flow with fine-grained telemetry to track user impact.
*Ensure analytics collection runs off the critical render path.
*Profile the affected queries with the database profiler to capture baseline timings.
*Audit indexes and execution plans, adding or adjusting indexes to support the hot path.
*Enable slow-query logging and surface metrics in the APM dashboard.</t>
  </si>
  <si>
    <t xml:space="preserve">Database Scalability Best Practices; High Availability Standards
</t>
  </si>
  <si>
    <t>PERF-NTH-008</t>
  </si>
  <si>
    <t>Implement Browser HTTP Caching Headers</t>
  </si>
  <si>
    <t>Add appropriate Cache-Control headers for static assets and API responses.</t>
  </si>
  <si>
    <t>*Reduced server load for repeat visitors
*Faster repeat visits through browser cache
*Better bandwidth utilization</t>
  </si>
  <si>
    <t xml:space="preserve">HTTP Caching Standards; Web Performance
</t>
  </si>
  <si>
    <t>PERF-NTH-009</t>
  </si>
  <si>
    <t>Add Prefetching for Next Pages</t>
  </si>
  <si>
    <t>Frontend navigation</t>
  </si>
  <si>
    <t>Implement link prefetching for likely next page navigation using Intersection Observer.</t>
  </si>
  <si>
    <t>*Instant page navigation through predictive prefetching
*Better perceived performance
*Reduced wait time for users</t>
  </si>
  <si>
    <t>*Rewrite ORM usage to leverage select_related/prefetch_related and collapse query counts.
*Add a regression test that asserts query count for the affected endpoint.
*Capture before/after performance metrics (latency, throughput, resource usage) to validate the improvement.</t>
  </si>
  <si>
    <t xml:space="preserve">Web Performance; Predictive Loading
</t>
  </si>
  <si>
    <t>PERF-NTH-010</t>
  </si>
  <si>
    <t>Implement Adaptive Image Loading</t>
  </si>
  <si>
    <t>Load different image resolutions based on device capabilities and network conditions.</t>
  </si>
  <si>
    <t>*Reduced data usage and faster loading on low-end devices.</t>
  </si>
  <si>
    <t>*Optimize image assets with responsive sizing and next-gen formats.
*Serve cached variants via CDN to minimize download time.
*Profile the flow with platform profilers (Android Studio/ Instruments).
*Optimize state management to avoid redundant re-renders.
*Implement offline-first caching strategies for network-heavy flows.</t>
  </si>
  <si>
    <t xml:space="preserve">Responsive Design; Performance Optimization
</t>
  </si>
  <si>
    <t>UIUX-SA-001</t>
  </si>
  <si>
    <t>UI/Responsiveness</t>
  </si>
  <si>
    <t>Trip info cards overflow viewport</t>
  </si>
  <si>
    <t>*sharapp/src/TripInformation.tsx</t>
  </si>
  <si>
    <t>Information cards extend beyond screen width on devices under 375px wide</t>
  </si>
  <si>
    <t>Critical trip details like driver phone number cut off on iPhone SE/8 users</t>
  </si>
  <si>
    <t xml:space="preserve">*Apply responsive layout updates, verify on target breakpoints, and add visual regression coverage.
</t>
  </si>
  <si>
    <t>Responsive Web Design Best Practices</t>
  </si>
  <si>
    <t>UIUX-SA-002</t>
  </si>
  <si>
    <t>Bug - State Management</t>
  </si>
  <si>
    <t>Missing Loading States for Payment Link Creation</t>
  </si>
  <si>
    <t>*sharapp/src/TripSharingPage.tsx</t>
  </si>
  <si>
    <t>Button is disabled during payment creation but doesn't show loading indicator. Users don't know if action is processing.</t>
  </si>
  <si>
    <t>Major disruption for SharApp because Button is disabled during payment creation but doesn't show loading indicator. Users don't know if action is processing. As a result, screens desynchronize and user actions repeat.</t>
  </si>
  <si>
    <t>*Add loading spinner or text change to indicate processing state.</t>
  </si>
  <si>
    <t>Material Design - Progress and Loading Indicators; Nielsen Norman Visibility of System Status</t>
  </si>
  <si>
    <t>UIUX-SA-003</t>
  </si>
  <si>
    <t>Bug - Performance</t>
  </si>
  <si>
    <t>Missing rel Attributes on External Links</t>
  </si>
  <si>
    <t>*sharapp\src\DownloadLinks.tsx (Lines 5-11)</t>
  </si>
  <si>
    <t>External links without rel="noopener noreferrer" pose security risks (tabnabbing) and performance issues.</t>
  </si>
  <si>
    <t>Major disruption for SharApp because External links without rel="noopener noreferrer" pose security risks (tabnabbing) and performance issues. As a result, latency spikes and resource exhaustion follow.</t>
  </si>
  <si>
    <t>*Add rel="noopener noreferrer" and target="_blank" to all external links.</t>
  </si>
  <si>
    <t>OWASP ASVS v4.0 V14.4 External Link Handling; HTML rel Attribute Best Practices</t>
  </si>
  <si>
    <t>UIUX-SA-004</t>
  </si>
  <si>
    <t>UI/Layout Issue</t>
  </si>
  <si>
    <t>Mobile view map unusable</t>
  </si>
  <si>
    <t>Google Map controls and trip info overlap on mobile screens making both unusable</t>
  </si>
  <si>
    <t>Mobile web users cannot track trips effectively, affecting 60% of sharapp traffic</t>
  </si>
  <si>
    <t>*Refactor the layout per the design system, ensure adaptive breakpoints, and validate with QA/Design.</t>
  </si>
  <si>
    <t>JTNY Admin Layout Guidelines</t>
  </si>
  <si>
    <t>UIUX-SA-005</t>
  </si>
  <si>
    <t>UI/Navigation</t>
  </si>
  <si>
    <t>No back navigation option</t>
  </si>
  <si>
    <t>Once trip page loads, no way to go back or exit without browser back</t>
  </si>
  <si>
    <t>Users get stuck viewing expired trips with no clear exit</t>
  </si>
  <si>
    <t>Provide clear navigation controls, persist state, and add UX/integration tests for the flow.</t>
  </si>
  <si>
    <t>Jakob Nielsen Navigation Heuristics</t>
  </si>
  <si>
    <t>UIUX-SA-006</t>
  </si>
  <si>
    <t>Visual/Color &amp; Theme</t>
  </si>
  <si>
    <t>Poor contrast on status badges</t>
  </si>
  <si>
    <t>Light yellow text on white background for pending status</t>
  </si>
  <si>
    <t>Status information illegible, especially in bright environments</t>
  </si>
  <si>
    <t>Align styling with the JTNY brand palette, verify contrast ratios, and sync shared theme tokens.</t>
  </si>
  <si>
    <t>JTNY Brand System</t>
  </si>
  <si>
    <t>UIUX-SA-007</t>
  </si>
  <si>
    <t>Map doesn't resize dynamically</t>
  </si>
  <si>
    <t>*sharapp/src/TripSharingMap.tsx</t>
  </si>
  <si>
    <t>Google Map component has fixed height not adapting to content</t>
  </si>
  <si>
    <t>Map either too small or causes scroll on different devices</t>
  </si>
  <si>
    <t>Apply responsive layout updates, verify on target breakpoints, and add visual regression coverage.</t>
  </si>
  <si>
    <t>UIUX-SA-008</t>
  </si>
  <si>
    <t>UI/Accessibility</t>
  </si>
  <si>
    <t>Missing alt text for images</t>
  </si>
  <si>
    <t>Driver/passenger avatars have no alt attributes</t>
  </si>
  <si>
    <t>Screen readers cannot describe images</t>
  </si>
  <si>
    <t>Apply WCAG-compliant changes (aria labels, focus order, contrast) and verify with assistive tech.</t>
  </si>
  <si>
    <t>WCAG 2.1 Level AA</t>
  </si>
  <si>
    <t>UIUX-SA-009</t>
  </si>
  <si>
    <t>UI/UX - Layout &amp; Responsiveness</t>
  </si>
  <si>
    <t>Poor Responsive Design for Map Height</t>
  </si>
  <si>
    <t>*sharapp/src/App.tsx</t>
  </si>
  <si>
    <t>Fixed viewport height for map may be too large on mobile devices, leaving little room for trip information. No breakpoint adjustments.</t>
  </si>
  <si>
    <t>Noticeable degradation for SharApp because Fixed viewport height for map may be too large on mobile devices, leaving little room for trip information. No breakpoint adjustments. As a result, critical UI hides content on key breakpoints.</t>
  </si>
  <si>
    <t>*Use responsive height classes (e.g., h-[40vh] sm:h-[50vh] lg:h-[60vh]).</t>
  </si>
  <si>
    <t>W3C Responsive Web Design Principles; CSS Flexible Box Specification</t>
  </si>
  <si>
    <t>UIUX-SA-010</t>
  </si>
  <si>
    <t>Inconsistent Spacing and Padding</t>
  </si>
  <si>
    <t>*sharapp\src\TripInformation.tsx</t>
  </si>
  <si>
    <t>Mixed use of padding classes (pt-4 px-2, sm:p-8, py-4 sm:py-0). Layout looks inconsistent across breakpoints.</t>
  </si>
  <si>
    <t>Noticeable degradation for SharApp because Mixed use of padding classes (pt-4 px-2, sm:p-8, py-4 sm:py-0). Layout looks inconsistent across breakpoints. As a result, critical UI hides content on key breakpoints.</t>
  </si>
  <si>
    <t>*Standardize spacing scale using consistent Tailwind spacing utilities.</t>
  </si>
  <si>
    <t>Material Design Layout and Spacing System; Design System Consistency Guidelines</t>
  </si>
  <si>
    <t>UIUX-SA-011</t>
  </si>
  <si>
    <t>No keyboard shortcuts</t>
  </si>
  <si>
    <t>Cannot navigate or interact using keyboard only</t>
  </si>
  <si>
    <t>Completely inaccessible to users relying on keyboard navigation</t>
  </si>
  <si>
    <t>UIUX-SA-012</t>
  </si>
  <si>
    <t>Visual/Styling</t>
  </si>
  <si>
    <t>Inconsistent component styling</t>
  </si>
  <si>
    <t>Mix of Tailwind utilities and inline styles creating inconsistency</t>
  </si>
  <si>
    <t>Unprofessional appearance damaging brand credibility</t>
  </si>
  <si>
    <t>Normalize the component styling per the design system and run a UX review of the updated elements.</t>
  </si>
  <si>
    <t>Material Design Visual Guidelines</t>
  </si>
  <si>
    <t>UIUX-SA-013</t>
  </si>
  <si>
    <t>Download links overlap footer</t>
  </si>
  <si>
    <t>*sharapp/src/DownloadLinks.tsx</t>
  </si>
  <si>
    <t>App store buttons cover footer text on short viewports</t>
  </si>
  <si>
    <t>Contact information hidden on landscape mobile</t>
  </si>
  <si>
    <t>Refactor the layout per the design system, ensure adaptive breakpoints, and validate with QA/Design.</t>
  </si>
  <si>
    <t>UIUX-SA-014</t>
  </si>
  <si>
    <t>No loading progress indicator</t>
  </si>
  <si>
    <t>No indication of loading progress for slow connections</t>
  </si>
  <si>
    <t>Users abandon page thinking it's broken</t>
  </si>
  <si>
    <t>UIUX-SA-015</t>
  </si>
  <si>
    <t>Visual/Consistency</t>
  </si>
  <si>
    <t>Inconsistent date formats</t>
  </si>
  <si>
    <t>*sharapp/src/utils.ts</t>
  </si>
  <si>
    <t>Mix of DD/MM/YYYY and MM/DD/YYYY formats</t>
  </si>
  <si>
    <t>Date confusion for international users</t>
  </si>
  <si>
    <t>UIUX-SA-016</t>
  </si>
  <si>
    <t>Text truncation issues</t>
  </si>
  <si>
    <t>Long names and addresses cut off with ellipsis</t>
  </si>
  <si>
    <t>Important information hidden from users</t>
  </si>
  <si>
    <t>UIUX-SA-017</t>
  </si>
  <si>
    <t>Inactive state unclear</t>
  </si>
  <si>
    <t>Completed trips use same colors as active</t>
  </si>
  <si>
    <t>Users confused about trip status</t>
  </si>
  <si>
    <t>UIUX-SA-018</t>
  </si>
  <si>
    <t>Bug - Error Handling</t>
  </si>
  <si>
    <t>Missing Favicon Fallbacks</t>
  </si>
  <si>
    <t>*sharapp\index.html (Line 5)</t>
  </si>
  <si>
    <t>Only SVG favicon provided. Older browsers may not support SVG favicons.</t>
  </si>
  <si>
    <t>Minor inconsistency for SharApp because Only SVG favicon provided. Older browsers may not support SVG favicons. As a result, users lose confidence.</t>
  </si>
  <si>
    <t>W3C HTML Link Icon Specification; Web App Manifest Guidelines</t>
  </si>
  <si>
    <t>UIUX-SA-019</t>
  </si>
  <si>
    <t>No Language Attribute Fallback</t>
  </si>
  <si>
    <t>*sharapp\index.html (Line 2)</t>
  </si>
  <si>
    <t>Language is hardcoded as English, but app shows phone numbers and may serve international users.</t>
  </si>
  <si>
    <t>Minor inconsistency for SharApp because Language is hardcoded as English, but app shows phone numbers and may serve international users. As a result, users lose confidence.</t>
  </si>
  <si>
    <t>*Consider dynamic language switching or ensure content matches declared language.</t>
  </si>
  <si>
    <t>WCAG 2.1 Success Criterion 3.1.1 Language of Page</t>
  </si>
  <si>
    <t>UIUX-SA-020</t>
  </si>
  <si>
    <t>No Cache-Busting for Static Assets</t>
  </si>
  <si>
    <t>*All components referencing static assets</t>
  </si>
  <si>
    <t>Users may see stale images after updates due to browser caching.</t>
  </si>
  <si>
    <t>Minor inconsistency for SharApp because Users may see stale images after updates due to browser caching. As a result, latency spikes and resource exhaustion follow.</t>
  </si>
  <si>
    <t>* Vite handles this automatically in production builds, but verify configuration.</t>
  </si>
  <si>
    <t>MDN HTTP Caching Best Practices; Google Lighthouse Cache Busting Guidance</t>
  </si>
  <si>
    <t>UIUX-SA-021</t>
  </si>
  <si>
    <t>Multiple loading states</t>
  </si>
  <si>
    <t>*sharapp/src/Skeleton.tsx</t>
  </si>
  <si>
    <t>Different loading indicators for map vs data vs payment</t>
  </si>
  <si>
    <t>Confusing user experience with no unified loading pattern</t>
  </si>
  <si>
    <t>UIUX-SA-022</t>
  </si>
  <si>
    <t>Pixelated avatar images</t>
  </si>
  <si>
    <t>Low resolution profile images stretched to fit</t>
  </si>
  <si>
    <t>Poor visual quality</t>
  </si>
  <si>
    <t>UIUX-SA-023</t>
  </si>
  <si>
    <t>Header logo cut off</t>
  </si>
  <si>
    <t>*sharapp/src/Header.tsx</t>
  </si>
  <si>
    <t>JTNY logo cropped on narrow screens</t>
  </si>
  <si>
    <t>Brand identity compromised</t>
  </si>
  <si>
    <t>UIUX-SA-024</t>
  </si>
  <si>
    <t>No breadcrumbs</t>
  </si>
  <si>
    <t>No indication of where user is in flow</t>
  </si>
  <si>
    <t>Disorienting user experience</t>
  </si>
  <si>
    <t>UIUX-SA-025</t>
  </si>
  <si>
    <t>Button sizes inconsistent</t>
  </si>
  <si>
    <t>*sharapp/src/Button.tsx</t>
  </si>
  <si>
    <t>CTA buttons have different heights</t>
  </si>
  <si>
    <t>Unprofessional appearance</t>
  </si>
  <si>
    <t>UIUX-SA-026</t>
  </si>
  <si>
    <t>No skip navigation</t>
  </si>
  <si>
    <t>No skip to content link for screen readers</t>
  </si>
  <si>
    <t>Slower navigation for accessibility users</t>
  </si>
  <si>
    <t>UIUX-MP-001</t>
  </si>
  <si>
    <t>Map search bar covers location pin</t>
  </si>
  <si>
    <t>*mobile-passenger/lib/modules/picking_map_point/screens/picking_map_point.dart</t>
  </si>
  <si>
    <t>Address search bar overlaps map center pin making selection difficult</t>
  </si>
  <si>
    <t>Users cannot accurately select pickup/dropoff locations</t>
  </si>
  <si>
    <t>UIUX-MP-002</t>
  </si>
  <si>
    <t>Stuck in loading screen</t>
  </si>
  <si>
    <t>*mobile-passenger/lib/modules/home_page/screens/home_screen.dart</t>
  </si>
  <si>
    <t>Infinite loading spinner if location services off</t>
  </si>
  <si>
    <t>App completely unusable without location</t>
  </si>
  <si>
    <t>UIUX-MP-003</t>
  </si>
  <si>
    <t>Bug - API Integration</t>
  </si>
  <si>
    <t>Hardcoded Serving Areas Instead of API Response</t>
  </si>
  <si>
    <t>*mobile-passenger\lib\shared\providers\user_provider.dart:73-218</t>
  </si>
  <si>
    <t>The getVersion() method ignores the API response for service zones and uses hardcoded Egyptian areas instead, with a comment suggesting the data comes from the API.</t>
  </si>
  <si>
    <t>Service areas cannot be updated dynamically. The app will not work correctly in other regions. Updates require app redeployment.</t>
  </si>
  <si>
    <t>API-Driven Development, Clean Architecture</t>
  </si>
  <si>
    <t>UIUX-MP-004</t>
  </si>
  <si>
    <t>No Offline Handling or Network State Management</t>
  </si>
  <si>
    <t>*mobile-passenger\lib\main.dart:77-78 (ConnectivityProvider commented out)</t>
  </si>
  <si>
    <t>ConnectivityProvider is commented out in main.dart. No offline mode implementation. Users get generic error messages when network is unavailable.</t>
  </si>
  <si>
    <t>Poor user experience when network is unstable. App appears broken during connectivity issues. No cached data available offline.</t>
  </si>
  <si>
    <t>Mobile App UX Best Practices, Offline-First Architecture</t>
  </si>
  <si>
    <t>UIUX-MP-005</t>
  </si>
  <si>
    <t>Payment methods cut off on SE models</t>
  </si>
  <si>
    <t>*mobile-passenger/lib/modules/trip_settings/screens/trip_info.dart</t>
  </si>
  <si>
    <t>Payment selection buttons extend beyond screen on iPhone SE</t>
  </si>
  <si>
    <t>15% of iOS users cannot select payment methods</t>
  </si>
  <si>
    <t>UIUX-MP-006</t>
  </si>
  <si>
    <t>No loading state during booking</t>
  </si>
  <si>
    <t>*mobile-passenger/lib/modules/home_page/widgets/single_trip_data.dart</t>
  </si>
  <si>
    <t>No visual feedback when booking request is processing</t>
  </si>
  <si>
    <t>Users tap multiple times creating duplicate requests</t>
  </si>
  <si>
    <t>UIUX-MP-007</t>
  </si>
  <si>
    <t>Color-only status indicators</t>
  </si>
  <si>
    <t>Trip status shown only through colors without text</t>
  </si>
  <si>
    <t>Colorblind users cannot determine trip status</t>
  </si>
  <si>
    <t>UIUX-MP-008</t>
  </si>
  <si>
    <t>Driver info card blocks map</t>
  </si>
  <si>
    <t>Driver details card covers 60% of map during trip</t>
  </si>
  <si>
    <t>Cannot see route or driver location properly</t>
  </si>
  <si>
    <t>UIUX-MP-009</t>
  </si>
  <si>
    <t>RTL layout broken</t>
  </si>
  <si>
    <t>*mobile-passenger/lib/shared/utils/language_utils.dart</t>
  </si>
  <si>
    <t>Arabic text alignment issues throughout app</t>
  </si>
  <si>
    <t>Arabic version nearly unusable</t>
  </si>
  <si>
    <t>UIUX-MP-010</t>
  </si>
  <si>
    <t>Insufficient contrast</t>
  </si>
  <si>
    <t>*mobile-passenger/lib/shared/constants/colors_constant.dart</t>
  </si>
  <si>
    <t>Light gray text on white background</t>
  </si>
  <si>
    <t>Text unreadable in bright sunlight</t>
  </si>
  <si>
    <t>UIUX-MP-011</t>
  </si>
  <si>
    <t>Lack of Const Constructors Missing `const` Keywords on Immutable Widgets</t>
  </si>
  <si>
    <t>*Throughout application – many widgets that could be `const` are not</t>
  </si>
  <si>
    <t>Many stateless widgets and immutable widgets are not marked as `const`, missing significant optimization opportunities. Flutter can skip rebuilding `const` widgets entirely.</t>
  </si>
  <si>
    <t>Unnecessary widget rebuilds consume CPU, increase memory usage, and slow rendering performance. This may lead to poor frame rates and increased battery drain.</t>
  </si>
  <si>
    <t>Flutter Performance Best Practices, Dart Const Documentation</t>
  </si>
  <si>
    <t>UIUX-MP-012</t>
  </si>
  <si>
    <t>Hardcoded Strings Not Using Localization</t>
  </si>
  <si>
    <t>*mobile-passenger\lib\modules\authentication\sign_in\screens\login.dart:360 ("─────── OR ───────"),; notification_api.dart:173 ("trip cancelled")</t>
  </si>
  <si>
    <t>Several UI strings are hardcoded instead of using AppLocalizations, making them not translatable.</t>
  </si>
  <si>
    <t>Incomplete internationalization. Mixed languages in UI for non-English users. Maintenance difficulty.</t>
  </si>
  <si>
    <t>*Move all hardcoded strings to localization files</t>
  </si>
  <si>
    <t>Flutter Internationalization Best Practices</t>
  </si>
  <si>
    <t>UIUX-MP-013</t>
  </si>
  <si>
    <t>Misaligned car class images</t>
  </si>
  <si>
    <t>Vehicle images not centered in selection cards</t>
  </si>
  <si>
    <t>Unprofessional appearance affecting brand perception</t>
  </si>
  <si>
    <t>UIUX-MP-014</t>
  </si>
  <si>
    <t>Three different modal styles</t>
  </si>
  <si>
    <t>*mobile-passenger/lib/shared/widgets/dialogs.dart</t>
  </si>
  <si>
    <t>Popup modals have different animations and styles</t>
  </si>
  <si>
    <t>Inconsistent user experience</t>
  </si>
  <si>
    <t>UIUX-MP-015</t>
  </si>
  <si>
    <t>Time picker unusable in landscape</t>
  </si>
  <si>
    <t>Schedule trip time picker cut off in landscape mode</t>
  </si>
  <si>
    <t>Cannot schedule trips with device rotated</t>
  </si>
  <si>
    <t>UIUX-MP-016</t>
  </si>
  <si>
    <t>Buttons too small</t>
  </si>
  <si>
    <t>*mobile-passenger/lib/shared/widgets/custom_button.dart</t>
  </si>
  <si>
    <t>Critical buttons below 44px touch target</t>
  </si>
  <si>
    <t>Difficult for elderly or motor-impaired users</t>
  </si>
  <si>
    <t>UIUX-MP-017</t>
  </si>
  <si>
    <t>Overlapping price estimates</t>
  </si>
  <si>
    <t>Price range text overlaps with car class name</t>
  </si>
  <si>
    <t>Cannot read pricing information</t>
  </si>
  <si>
    <t>UIUX-MP-018</t>
  </si>
  <si>
    <t>Deep link handling broken</t>
  </si>
  <si>
    <t>*mobile-passenger/lib/config/routes/app_routes.dart</t>
  </si>
  <si>
    <t>Share trip links don't open correct screen</t>
  </si>
  <si>
    <t>Cannot share trip details effectively</t>
  </si>
  <si>
    <t>UIUX-MP-019</t>
  </si>
  <si>
    <t>Visual - Color &amp; Theme</t>
  </si>
  <si>
    <t>Inconsistent Color Usage Colors Not Consistently Using Theme</t>
  </si>
  <si>
    <t>Throughout application – mix of `Colors.white`, hex values, and theme colors</t>
  </si>
  <si>
    <t>Colors are used inconsistently – sometimes from theme (`Theme.of(context).colorScheme`), sometimes hardcoded (`Colors.white`), sometimes from `ColorsConstant` class. No single source of truth.</t>
  </si>
  <si>
    <t>Inconsistent appearance across app. Difficulty maintaining design system. Hard to implement dark mode. Brand color updates require changes in multiple places.</t>
  </si>
  <si>
    <t>Material Design Color System, Theme Management Best Practices</t>
  </si>
  <si>
    <t>UIUX-MP-020</t>
  </si>
  <si>
    <t>UI/UX - Feedback &amp; Status</t>
  </si>
  <si>
    <t>No Haptic Feedback Missing Tactile Feedback on Interactions</t>
  </si>
  <si>
    <t>Throughout application – buttons and interactions lack haptic feedback</t>
  </si>
  <si>
    <t>No haptic/vibration feedback on button presses, swipes, or important actions despite vibration package being available in dependencies. This is a modern mobile UX expectation.</t>
  </si>
  <si>
    <t>Less engaging tactile experience and reduced user satisfaction. Accessibility issue for users who rely on haptic feedback. The app feels less polished compared to competitors.</t>
  </si>
  <si>
    <t>*Add `HapticFeedback.lightImpact()` on standard button presses.</t>
  </si>
  <si>
    <t>Mobile UX Best Practices, iOS Human Interface Guidelines, Material Design Motion</t>
  </si>
  <si>
    <t>UIUX-MP-021</t>
  </si>
  <si>
    <t>UI/UX - General Experience</t>
  </si>
  <si>
    <t>No Pull-to-Refresh Functionality Data Lists Cannot Be Refreshed by User</t>
  </si>
  <si>
    <t>Trip lists, transaction lists, address lists throughout application</t>
  </si>
  <si>
    <t>Trip lists, transaction lists, and other data lists don't have pull-to-refresh capability. Users have no way to manually refresh data.</t>
  </si>
  <si>
    <t>Users cannot easily refresh data when they know it should be updated. They must navigate away and back to refresh. This leads to poor mobile UX compared to expected behavior, and users may see stale data.</t>
  </si>
  <si>
    <t>*Add `RefreshIndicator` widget to all list views.</t>
  </si>
  <si>
    <t>Material Design Refresh Patterns, Mobile UX Conventions</t>
  </si>
  <si>
    <t>UIUX-MP-022</t>
  </si>
  <si>
    <t>Bug - Build &amp; Tooling</t>
  </si>
  <si>
    <t>No Dark Mode Support Only Light Theme Implemented</t>
  </si>
  <si>
    <t>Theme configuration in `mobile-passenger\lib\main.dart:121`</t>
  </si>
  <si>
    <t>Application only supports light theme. No dark mode implementation despite being a common feature in modern apps and improving accessibility.</t>
  </si>
  <si>
    <t>Poor user experience in low-light conditions. Increased eye strain for users in dark environments. Increased battery drain on OLED/AMOLED devices. Not following OS theme preferences. Lower user satisfaction.</t>
  </si>
  <si>
    <t>*Design comprehensive dark theme color scheme.</t>
  </si>
  <si>
    <t>Material Design Dark Theme Guidelines, Accessibility Best Practices</t>
  </si>
  <si>
    <t>UIUX-MP-023</t>
  </si>
  <si>
    <t>Missing Performance Monitoring No Production Performance Tracking</t>
  </si>
  <si>
    <t>No Firebase Performance or similar integration visible</t>
  </si>
  <si>
    <t>No performance monitoring or analytics to track app performance in production. Performance bottlenecks and improvements cannot be monitored.</t>
  </si>
  <si>
    <t>Cannot identify performance bottlenecks in production. No visibility into real user experience metrics. Cannot track performance improvements from optimizations. No alerts for performance degradation. Cannot correlate crashes with performance issues.</t>
  </si>
  <si>
    <t>*Integrate Firebase Performance Monitoring (Firebase already integrated).</t>
  </si>
  <si>
    <t>Mobile App Performance Monitoring Best Practices, Firebase Performance</t>
  </si>
  <si>
    <t>UIUX-MP-024</t>
  </si>
  <si>
    <t>Bug - Security &amp; Privacy</t>
  </si>
  <si>
    <t>No Onboarding Completion Tracking Onboarding State Not Properly Tracked</t>
  </si>
  <si>
    <t>*mobile-passenger\lib\data\local\cache_helper.dart (`onBoardingSkip` key exists)</t>
  </si>
  <si>
    <t>Onboarding can only be “skipped” but there is no proper completion tracking. No distinction between users who completed onboarding vs. skipped it. Users might see onboarding repeatedly.</t>
  </si>
  <si>
    <t>Potentially annoying user experience if onboarding shows unexpectedly. Unclear onboarding state management. Cannot track onboarding completion metrics. Users who skip might miss important information.</t>
  </si>
  <si>
    <t>*Add separate `onBoardingCompleted` key independent of skip.</t>
  </si>
  <si>
    <t>Onboarding UX Best Practices, User Analytics</t>
  </si>
  <si>
    <t>UIUX-MP-025</t>
  </si>
  <si>
    <t>Inconsistent Color Usage</t>
  </si>
  <si>
    <t>Throughout application - mix of Colors.white, direct color values, and theme colors</t>
  </si>
  <si>
    <t>Colors are used inconsistently - sometimes from theme, sometimes hardcoded, sometimes from ColorsConstant.</t>
  </si>
  <si>
    <t>Inconsistent appearance, difficulty maintaining design system, hard to implement dark mode.</t>
  </si>
  <si>
    <t>*Consolidate all colors in theme</t>
  </si>
  <si>
    <t>Material Design Color System</t>
  </si>
  <si>
    <t>UIUX-MP-026</t>
  </si>
  <si>
    <t>No Haptic Feedback</t>
  </si>
  <si>
    <t>Throughout application - buttons and interactions lack haptic feedback</t>
  </si>
  <si>
    <t>No haptic/vibration feedback on button presses or important actions despite vibration package being available.</t>
  </si>
  <si>
    <t>Less tactile experience, reduced user engagement, accessibility issue for users who rely on haptic feedback.</t>
  </si>
  <si>
    <t>*Add HapticFeedback.lightImpact() on button presses</t>
  </si>
  <si>
    <t>Mobile UX Best Practices, Accessibility</t>
  </si>
  <si>
    <t>UIUX-MP-027</t>
  </si>
  <si>
    <t>Visual - Component Styling</t>
  </si>
  <si>
    <t>Inconsistent Border Radius Values</t>
  </si>
  <si>
    <t>Throughout application - mix of 8, 12, 16, 24 border radius values</t>
  </si>
  <si>
    <t>Border radius values vary inconsistently across the app without a clear design system.</t>
  </si>
  <si>
    <t>Inconsistent visual design, lack of design cohesion, difficult to maintain consistent look.</t>
  </si>
  <si>
    <t>*Define standard border radius values in design system</t>
  </si>
  <si>
    <t>Material Design Shape System</t>
  </si>
  <si>
    <t>UIUX-MP-028</t>
  </si>
  <si>
    <t>No Code Splitting or Lazy Loading</t>
  </si>
  <si>
    <t>All imports are eager loaded in main.dart</t>
  </si>
  <si>
    <t>All screens and features are imported eagerly, increasing initial bundle size and load time.</t>
  </si>
  <si>
    <t>Slower app startup, larger initial download, unnecessary code loaded.</t>
  </si>
  <si>
    <t>*Implement lazy loading for non-critical screens</t>
  </si>
  <si>
    <t>Flutter Performance Optimization</t>
  </si>
  <si>
    <t>UIUX-MP-029</t>
  </si>
  <si>
    <t>No Pull-to-Refresh Functionality</t>
  </si>
  <si>
    <t>Lists throughout application lack pull-to-refresh</t>
  </si>
  <si>
    <t>Trip lists, transaction lists, and other data lists don't have pull-to-refresh capability.</t>
  </si>
  <si>
    <t>Users cannot easily refresh data. Must navigate away and back. Poor mobile UX.</t>
  </si>
  <si>
    <t>*Add RefreshIndicator to all list views</t>
  </si>
  <si>
    <t>Material Design Refresh Patterns</t>
  </si>
  <si>
    <t>UIUX-MP-030</t>
  </si>
  <si>
    <t>No Dark Mode Support</t>
  </si>
  <si>
    <t>Theme only defines light theme in mobile-passenger\lib\main.dart:121</t>
  </si>
  <si>
    <t>Application only supports light theme, no dark mode implementation despite being common in modern apps.</t>
  </si>
  <si>
    <t>Poor experience in low-light conditions. Increased battery drain on OLED devices. Not following OS theme preferences.</t>
  </si>
  <si>
    <t>*Design dark theme color scheme</t>
  </si>
  <si>
    <t>Material Design Dark Theme, Accessibility</t>
  </si>
  <si>
    <t>UIUX-MP-031</t>
  </si>
  <si>
    <t>Missing Performance Monitoring</t>
  </si>
  <si>
    <t>No performance monitoring or analytics to track app performance in production.</t>
  </si>
  <si>
    <t>Cannot identify performance bottlenecks. No visibility into production issues. Cannot track improvements.</t>
  </si>
  <si>
    <t>*Integrate Firebase Performance Monitoring</t>
  </si>
  <si>
    <t>Mobile App Performance Monitoring</t>
  </si>
  <si>
    <t>UIUX-MP-032</t>
  </si>
  <si>
    <t>No Onboarding Completion Tracking</t>
  </si>
  <si>
    <t>*mobile-passenger\lib\data\local\cache_helper.dart (onBoardingSkip key exists)</t>
  </si>
  <si>
    <t>Onboarding can only be skipped, no completion tracking. Users might see onboarding repeatedly.</t>
  </si>
  <si>
    <t>Annoying user experience if onboarding shows unexpectedly. Unclear onboarding state.</t>
  </si>
  <si>
    <t>*Add onBoardingCompleted key separate from skip</t>
  </si>
  <si>
    <t>Onboarding UX Best Practices</t>
  </si>
  <si>
    <t>UIUX-MP-033</t>
  </si>
  <si>
    <t>Brand colors incorrect</t>
  </si>
  <si>
    <t>App uses different green than brand guidelines</t>
  </si>
  <si>
    <t>Brand inconsistency across platforms</t>
  </si>
  <si>
    <t>UIUX-MP-034</t>
  </si>
  <si>
    <t>Blurry icons on high DPI</t>
  </si>
  <si>
    <t>*mobile-passenger/lib/shared/constants/images.dart</t>
  </si>
  <si>
    <t>Low resolution assets on retina displays</t>
  </si>
  <si>
    <t>Poor visual quality on premium devices</t>
  </si>
  <si>
    <t>UIUX-MP-035</t>
  </si>
  <si>
    <t>Rating stars too close</t>
  </si>
  <si>
    <t>*mobile-passenger/lib/shared/widgets/smooth_star_rating.dart</t>
  </si>
  <si>
    <t>Driver rating stars overlap on small screens</t>
  </si>
  <si>
    <t>Difficult to select intended rating</t>
  </si>
  <si>
    <t>UIUX-MP-036</t>
  </si>
  <si>
    <t>Animation speeds vary</t>
  </si>
  <si>
    <t>Different animation durations for similar actions</t>
  </si>
  <si>
    <t>Inconsistent feel</t>
  </si>
  <si>
    <t>UIUX-MP-037</t>
  </si>
  <si>
    <t>Receipt layout broken</t>
  </si>
  <si>
    <t>*mobile-passenger/lib/modules/trip_details_screen/screens/trip_details_screen.dart</t>
  </si>
  <si>
    <t>PDF receipt text overlaps</t>
  </si>
  <si>
    <t>Receipts look unprofessional</t>
  </si>
  <si>
    <t>UIUX-MD-001</t>
  </si>
  <si>
    <t>Map controls overlap trip info</t>
  </si>
  <si>
    <t>*mobile-driver/lib/modules/trip/providers/map_provider.dart</t>
  </si>
  <si>
    <t>Google Maps zoom controls cover trip destination on narrow screens</t>
  </si>
  <si>
    <t>Drivers cannot see destination address during navigation</t>
  </si>
  <si>
    <t>UIUX-MD-002</t>
  </si>
  <si>
    <t>Bug - Monitoring &amp; Observability</t>
  </si>
  <si>
    <t>Advertisement carousel never reaches last slide &amp; leaks timer</t>
  </si>
  <si>
    <t>*lib/modules/advertisement/widgets/advertisement_widget.dart:22-43</t>
  </si>
  <si>
    <t>The auto-play logic stops when `currentIndex &lt;= 3` even though five slides are rendered, and the anonymous `Timer.periodic` is never stored or cancelled in `dispose`.</t>
  </si>
  <si>
    <t>The final banner is never auto-played and the timer keeps waking the CPU after the widget is removed, causing subtle jank and resource waste.</t>
  </si>
  <si>
    <t>Material Design – Carousel Patterns; Flutter Timer Lifecycle Guidance</t>
  </si>
  <si>
    <t>UIUX-MD-003</t>
  </si>
  <si>
    <t>Trip type displays placeholder text</t>
  </si>
  <si>
    <t>*lib/modules/home/widgets/single_trip_data.dart:492-505</t>
  </si>
  <si>
    <t>The trip type label falls back to the literal string `'noo'` whenever the trip isn't scheduled, leaving a TODO in production UI.</t>
  </si>
  <si>
    <t>Drivers see gibberish instead of "Standard/Saver/etc.", reducing trust in fare breakdowns and breaking localization.</t>
  </si>
  <si>
    <t>*Map every known `service` code to a localized label and provide a proper "Unknown" fallback instead of hard-coded placeholder strings.</t>
  </si>
  <si>
    <t>Material Design – Writing Style; Unicode CLDR Localization Guidelines</t>
  </si>
  <si>
    <t>UIUX-MD-004</t>
  </si>
  <si>
    <t>Face ID/Touch ID toggle never appears</t>
  </si>
  <si>
    <t>*lib/modules/settings/screens/settings_screen.dart:35-58</t>
  </si>
  <si>
    <t>`_biometricType` is set asynchronously in `init()` without calling `setState`, but the Face ID switch is guarded by `_biometricType != ''`.</t>
  </si>
  <si>
    <t>Even on supported devices the biometric login option stays hidden, so drivers cannot enable faster/safer authentication.</t>
  </si>
  <si>
    <t>*Wrap the `_biometricType` mutation in `setState`, or expose the detection result via a FutureBuilder/Provider before rendering the toggle.</t>
  </si>
  <si>
    <t>Apple HIG – Face ID Enrollment; Material Security Patterns</t>
  </si>
  <si>
    <t>UIUX-MD-005</t>
  </si>
  <si>
    <t>Connectivity detection disabled everywhere</t>
  </si>
  <si>
    <t>*lib/main.dart:60-67</t>
  </si>
  <si>
    <t>The `ConnectivityProvider` is neither registered nor initialized because the provider wiring and `initialize()` call are commented out.</t>
  </si>
  <si>
    <t>When the network drops, users just see endless loading indicators with no snackbar/dialog, leading to failed trip actions and extra support load.</t>
  </si>
  <si>
    <t>*Re-enable the provider, call `initialize()` in `didChangeDependencies`, and surface the existing offline snackbar/dialog UX from `ConnectivityProvider`.</t>
  </si>
  <si>
    <t>Material Design – Connectivity States; WCAG 2.1 Status Messages</t>
  </si>
  <si>
    <t>UIUX-MD-006</t>
  </si>
  <si>
    <t>Trip request timer overflows progress indicator</t>
  </si>
  <si>
    <t>*lib/modules/home/widgets/request_waiting_time_widget.dart:27-50</t>
  </si>
  <si>
    <t>The widget divides elapsed seconds by `requestTime - 5` without clamping and even falls back to a literal `15` when `tripInfo` is null, so `LinearProgressIndicator` is frequently given a value &gt; 1.0.</t>
  </si>
  <si>
    <t>In debug/test builds this triggers an assertion and in release it pegs the bar instantly, leaving drivers with no visual cue about how long they have left to accept.</t>
  </si>
  <si>
    <t>*Clamp the ratio between 0 and 1, guard against `requestTime &lt;= 5`, and remove the hard-coded `15` fallback in favor of the indeterminate progress style.</t>
  </si>
  <si>
    <t>Material Design – Progress Indicators; Flutter ProgressIndicator API Contract</t>
  </si>
  <si>
    <t>UIUX-MD-007</t>
  </si>
  <si>
    <t>Bug - Validation</t>
  </si>
  <si>
    <t>No validation on OCR-scanned trip kilometer values</t>
  </si>
  <si>
    <t>*lib/modules/trip/widgets/ocr_widget.dart:166-170</t>
  </si>
  <si>
    <t>The OCR widget allows submitting any integer parsed from text without validating if it's reasonable (e.g., negative numbers, zero, or impossibly high values like 999999).</t>
  </si>
  <si>
    <t>Drivers can accidentally submit incorrect odometer readings due to OCR misreads, leading to incorrect billing, trip calculation errors, and disputes. Malicious drivers could manipulate readings to inflate earnings or avoid tolls based on distance.</t>
  </si>
  <si>
    <t>*Add validation: minimum value (e.g., &gt; 0), maximum value (e.g., &lt; 10000 for reasonable daily driving), and range checking against previous trip readings if available.</t>
  </si>
  <si>
    <t>Form Validation Best Practices; Data Integrity Standards</t>
  </si>
  <si>
    <t>UIUX-MD-008</t>
  </si>
  <si>
    <t>Image cache never cleared during profile updates</t>
  </si>
  <si>
    <t>*lib/shared/provider/users_provider.dart:406-408</t>
  </si>
  <si>
    <t>When updating profile images, the code clears Flutter's image cache but Firebase Storage caches images with the same URL, causing drivers to see stale profile pictures until app restart.</t>
  </si>
  <si>
    <t>Drivers upload new profile photos but continue seeing old photos in the app, leading to confusion and multiple re-upload attempts. This wastes bandwidth and storage, and creates poor UX. Support receives complaints about "profile picture not updating".</t>
  </si>
  <si>
    <t>*Append timestamp or version query parameter to Firebase Storage URLs when fetching updated images: `url?v=${DateTime.now().millisecondsSinceEpoch}`.</t>
  </si>
  <si>
    <t>Flutter Image Caching Best Practices; HTTP Cache-Control Headers</t>
  </si>
  <si>
    <t>UIUX-MD-009</t>
  </si>
  <si>
    <t>No loading state when switching wallet tabs</t>
  </si>
  <si>
    <t>*lib/modules/wallet/screens/wallet_screen.dart:110-150</t>
  </si>
  <si>
    <t>Switching between "Received Money" and "Amount Due" tabs has instant UI change but transactions may not be loaded yet, showing empty lists without indication of loading status.</t>
  </si>
  <si>
    <t>Users may think they have no transactions when switching tabs, especially on slow connections. This creates confusion and unnecessary support contacts asking "where are my payments?".</t>
  </si>
  <si>
    <t>*Add loading indicators when tab data is being fetched.</t>
  </si>
  <si>
    <t>Material Design Progress Indicators; Skeleton Screen Pattern</t>
  </si>
  <si>
    <t>UIUX-MD-010</t>
  </si>
  <si>
    <t>Trip request dialog shows accept button only</t>
  </si>
  <si>
    <t>*lib/modules/home/widgets/trip_request_dialog.dart:210-226</t>
  </si>
  <si>
    <t>The reject button is commented out (lines 210-226), leaving drivers with no way to decline trip requests through UI. They must wait for timeout, which is poor UX.</t>
  </si>
  <si>
    <t>Drivers cannot reject unwanted trips (long distances, difficult areas, low ratings), forced to let them timeout and potentially receiving penalties for low acceptance rates. This violates driver autonomy and creates frustration. Platform may show decreased driver availability due to artificial timeout delays.</t>
  </si>
  <si>
    <t>*Uncomment and enable the reject button.</t>
  </si>
  <si>
    <t>Driver Autonomy Principles; Fair Labor Standards; UX Best Practices</t>
  </si>
  <si>
    <t>UIUX-MD-011</t>
  </si>
  <si>
    <t>No pagination or virtual scrolling in trip history</t>
  </si>
  <si>
    <t>*lib/modules/home/screens/all_trips_screen.dart</t>
  </si>
  <si>
    <t>While pagination is implemented on backend calls (page count), the UI loads all trips into memory at once without virtual scrolling. Drivers with hundreds of trips experience lag and memory issues.</t>
  </si>
  <si>
    <t>For drivers with 500+ completed trips, the app becomes sluggish, experiences frame drops, and may crash with OutOfMemoryError on older devices. ListView builds all widgets at once instead of lazily building visible items only.</t>
  </si>
  <si>
    <t>*Implement ListView.builder with lazy loading instead of generating all widgets upfront.</t>
  </si>
  <si>
    <t>Flutter Performance Best Practices; Lazy Loading Patterns; Material Design Scrolling Patterns</t>
  </si>
  <si>
    <t>UIUX-MD-012</t>
  </si>
  <si>
    <t>No feedback when biometric authentication fails to initialize</t>
  </si>
  <si>
    <t>`init()` method calls `LocalAuth.getBiometrics()` but never shows error message to user if biometric detection fails. User just sees the toggle never appear without explanation.</t>
  </si>
  <si>
    <t>Drivers on devices with biometric hardware issues or disabled biometrics see no toggle and no explanation, leading to confusion. They may think the feature is unavailable on their device model when it's actually a configuration or hardware issue.</t>
  </si>
  <si>
    <t>*Wrap biometric initialization in try-catch and show snackbar or dialog if it fails: "Biometric authentication unavailable. Please check your device settings."</t>
  </si>
  <si>
    <t>Material Design Error Handling; Accessibility Error Messaging; WCAG 2.1 Error Identification</t>
  </si>
  <si>
    <t>UIUX-MD-013</t>
  </si>
  <si>
    <t>No offline mode indicators or queuing</t>
  </si>
  <si>
    <t>App-wide (no connectivity provider registered)</t>
  </si>
  <si>
    <t>While `ConnectivityProvider` exists, it's commented out in main.dart:66 and never initialized. App has no way to detect offline state, queue failed operations, or inform user about connectivity issues beyond API timeout errors.</t>
  </si>
  <si>
    <t>Users on poor networks experience unexplained failures, API timeouts showing generic errors, and lost data when operations fail during connectivity loss. No way to queue trip status updates, location updates, or messages for later sync. This creates data inconsistencies and user frustration.</t>
  </si>
  <si>
    <t>*Uncomment and properly initialize ConnectivityProvider.</t>
  </si>
  <si>
    <t>Offline-First Architecture Patterns; Material Design Connectivity States; Progressive Enhancement</t>
  </si>
  <si>
    <t>UIUX-MD-014</t>
  </si>
  <si>
    <t>UI/UX - Accessibility</t>
  </si>
  <si>
    <t>SOS button accessible even when not in trip</t>
  </si>
  <si>
    <t>*lib/modules/home/screens/map_screen.dart:106-189</t>
  </si>
  <si>
    <t>The red SOS button is shown on map screen regardless of trip status. Drivers can trigger false emergency alerts when not in active trips, wasting emergency resources.</t>
  </si>
  <si>
    <t>False emergency alerts flood customer service with unnecessary SOS messages, causing alert fatigue and potentially delaying response to real emergencies. Emergency responders may dispatch unnecessarily. Backend tracking shows inflated emergency rates.</t>
  </si>
  <si>
    <t>*Only show SOS button when `tripInfo != null &amp;&amp; tripInfo.status! &gt; 0` (active trip in progress).</t>
  </si>
  <si>
    <t>Emergency Response System Design; UI Safety Patterns; Crisis Management Best Practices</t>
  </si>
  <si>
    <t>UIUX-MD-015</t>
  </si>
  <si>
    <t>Firestore listener not properly cleaned up on logout</t>
  </si>
  <si>
    <t>*lib/modules/trip/providers/firebase_user_data_provider.dart</t>
  </si>
  <si>
    <t>When driver logs out, Firebase Firestore listeners for trip updates and driver status may not be properly cancelled, continuing to consume bandwidth and potentially updating stale UI state or causing crashes.</t>
  </si>
  <si>
    <t>After logout, the app continues receiving Firestore updates for the old driver's trips, wasting bandwidth and battery. If user logs in with different account, old listeners may trigger updates showing previous driver's data, causing data leakage and privacy violations.</t>
  </si>
  <si>
    <t>*Add proper listener cancellation in logout flow.</t>
  </si>
  <si>
    <t>Firebase Firestore Listener Management; Resource Cleanup; Data Isolation</t>
  </si>
  <si>
    <t>UIUX-MD-016</t>
  </si>
  <si>
    <t>No confirmation dialog when changing payment method</t>
  </si>
  <si>
    <t>*lib/modules/trip/providers/trip_provider.dart:58-61</t>
  </si>
  <si>
    <t>The `changePaymentWay` function switches between cash/card payment without showing a confirmation dialog, allowing accidental taps to change payment method mid-trip.</t>
  </si>
  <si>
    <t>Drivers accidentally tap the payment method toggle during trips, changing from card to cash without realizing it. At trip end, payment collection fails, leading to disputes with passengers, revenue loss, and accounting errors. Drivers don't get paid for completed trips.</t>
  </si>
  <si>
    <t>*Add confirmation dialog before changing payment method: "Switch to [cash/card]? This action cannot be undone." Disable payment method switching after passenger boarding.</t>
  </si>
  <si>
    <t>Financial Transaction Safety Patterns; Confirmation Dialog Best Practices; Audit Trail Requirements</t>
  </si>
  <si>
    <t>UIUX-MD-017</t>
  </si>
  <si>
    <t>Trip request modal cuts off on small screens</t>
  </si>
  <si>
    <t>*mobile-driver/lib/modules/home/widgets/trip_request_dialog.dart</t>
  </si>
  <si>
    <t>Trip request popup modal bottom buttons not visible on phones &lt; 5.5 inches</t>
  </si>
  <si>
    <t>Drivers cannot accept trips on 40% of Android devices</t>
  </si>
  <si>
    <t>UIUX-MD-018</t>
  </si>
  <si>
    <t>Back button exits app unexpectedly</t>
  </si>
  <si>
    <t>*mobile-driver/lib/modules/home/screens/main_screen.dart</t>
  </si>
  <si>
    <t>Android back button exits app instead of going back one screen</t>
  </si>
  <si>
    <t>Drivers accidentally close app losing trip state</t>
  </si>
  <si>
    <t>UIUX-MD-019</t>
  </si>
  <si>
    <t>Status colors unclear</t>
  </si>
  <si>
    <t>*mobile-driver/lib/shared/utils/app_colors.dart</t>
  </si>
  <si>
    <t>Online/offline status uses similar shades of green</t>
  </si>
  <si>
    <t>Drivers unsure of their availability status</t>
  </si>
  <si>
    <t>UIUX-MD-020</t>
  </si>
  <si>
    <t>Chat keyboard covers input</t>
  </si>
  <si>
    <t>*mobile-driver/lib/modules/driver_passenger_chat/messages_widgets/submitting_message_textfield.dart</t>
  </si>
  <si>
    <t>Keyboard hides message input field in chat</t>
  </si>
  <si>
    <t>Cannot see what they're typing to passengers</t>
  </si>
  <si>
    <t>UIUX-MD-021</t>
  </si>
  <si>
    <t>No voice navigation</t>
  </si>
  <si>
    <t>Turn-by-turn directions not announced</t>
  </si>
  <si>
    <t>Dangerous as drivers must look at screen</t>
  </si>
  <si>
    <t>UIUX-MD-022</t>
  </si>
  <si>
    <t>Can't return from trip details</t>
  </si>
  <si>
    <t>*mobile-driver/lib/modules/trip/screens/trip_details_screen.dart</t>
  </si>
  <si>
    <t>No back button in trip history details</t>
  </si>
  <si>
    <t>Stuck in screen requiring app restart</t>
  </si>
  <si>
    <t>UIUX-MD-023</t>
  </si>
  <si>
    <t>Missing empty states in wallet and trip history screens</t>
  </si>
  <si>
    <t>*lib/modules/wallet/screens/wallet_screen.dart:152-181</t>
  </si>
  <si>
    <t>When drivers have no transactions or trips, screens show empty ListView without explanation, helpful message, or call-to-action, making it unclear if data failed to load or actually empty.</t>
  </si>
  <si>
    <t>New drivers see blank screens and think the app is broken, leading to unnecessary support contacts. Experienced drivers between payouts think transaction data failed to load. Poor onboarding experience discourages new driver engagement.</t>
  </si>
  <si>
    <t>*Add empty state widgets with illustrations and helpful text: "No trips yet" with "Go online to start earning!" CTA for trip screen, "No transactions yet" for wallet.</t>
  </si>
  <si>
    <t>Material Design Empty States; Onboarding Best Practices; User Engagement Patterns</t>
  </si>
  <si>
    <t>UIUX-MD-024</t>
  </si>
  <si>
    <t>No visual indication of trip request timeout countdown</t>
  </si>
  <si>
    <t>The `LinearProgressIndicator` shows progress but there's no numeric countdown timer (e.g., "15s remaining") to give drivers clear feedback on urgency.</t>
  </si>
  <si>
    <t>Drivers don't know exactly how much time they have left to decide on accepting a trip request. The progress bar can be misinterpreted or missed, leading to missed opportunities or rushed decisions without proper evaluation of trip details.</t>
  </si>
  <si>
    <t>*Add a text widget showing countdown: "Accept within ${remainingSeconds}s".</t>
  </si>
  <si>
    <t>Time-Sensitive UI Patterns; Material Design Progress Indicators; Accessible Countdown Timers</t>
  </si>
  <si>
    <t>UIUX-MD-025</t>
  </si>
  <si>
    <t>Text too small for driving</t>
  </si>
  <si>
    <t>*mobile-driver/lib/modules/trip/widgets/trip_information_widget.dart</t>
  </si>
  <si>
    <t>Trip details text at 12px unreadable while driving</t>
  </si>
  <si>
    <t>Safety hazard as drivers squint to read information</t>
  </si>
  <si>
    <t>UIUX-MD-026</t>
  </si>
  <si>
    <t>Inconsistent iOS/Android UI</t>
  </si>
  <si>
    <t>*mobile-driver/lib/config/theme/app_theme.dart</t>
  </si>
  <si>
    <t>Different UI elements and layouts between platforms</t>
  </si>
  <si>
    <t>Confusion when drivers switch devices</t>
  </si>
  <si>
    <t>UIUX-MD-027</t>
  </si>
  <si>
    <t>Earnings chart unreadable</t>
  </si>
  <si>
    <t>*mobile-driver/lib/modules/wallet/screens/wallet_screen.dart</t>
  </si>
  <si>
    <t>Daily earnings chart labels overlap on 7-day view</t>
  </si>
  <si>
    <t>Drivers cannot track earnings properly</t>
  </si>
  <si>
    <t>UIUX-MD-028</t>
  </si>
  <si>
    <t>Confusing tab navigation</t>
  </si>
  <si>
    <t>Bottom tabs don't highlight current section</t>
  </si>
  <si>
    <t>Drivers unsure which section they're in</t>
  </si>
  <si>
    <t>UIUX-MD-029</t>
  </si>
  <si>
    <t>Icon size variations</t>
  </si>
  <si>
    <t>*mobile-driver/lib/shared/widgets/custom_button.dart</t>
  </si>
  <si>
    <t>Icons range from 16px to 32px randomly</t>
  </si>
  <si>
    <t>Visual imbalance and unprofessional look</t>
  </si>
  <si>
    <t>UIUX-MD-030</t>
  </si>
  <si>
    <t>Landscape mode broken</t>
  </si>
  <si>
    <t>*mobile-driver/lib/modules/home/screens/map_screen.dart</t>
  </si>
  <si>
    <t>UI doesn't adapt to landscape orientation</t>
  </si>
  <si>
    <t>Cannot use app in landscape car mounts</t>
  </si>
  <si>
    <t>UIUX-MD-031</t>
  </si>
  <si>
    <t>Night mode missing</t>
  </si>
  <si>
    <t>Bright white background at night</t>
  </si>
  <si>
    <t>Eye strain during night driving</t>
  </si>
  <si>
    <t>UIUX-MD-032</t>
  </si>
  <si>
    <t>Small touch targets</t>
  </si>
  <si>
    <t>Buttons smaller than 44x44px minimum</t>
  </si>
  <si>
    <t>Difficult to tap while driving</t>
  </si>
  <si>
    <t>UIUX-MD-033</t>
  </si>
  <si>
    <t>Overlapping elements in RTL</t>
  </si>
  <si>
    <t>Arabic layout has overlapping text</t>
  </si>
  <si>
    <t>Arabic interface partially unusable</t>
  </si>
  <si>
    <t>UIUX-MD-034</t>
  </si>
  <si>
    <t>Unused imports and dependencies bloat APK size</t>
  </si>
  <si>
    <t>*pubspec.yaml`</t>
  </si>
  <si>
    <t>Several commented-out dependencies remain in pubspec.yaml (device_info_plus, connectivity_plus, internet_connection_checker_plus, open_settings, sign_in_with_apple) and unused imports exist throughout the codebase, increasing build times and APK size.</t>
  </si>
  <si>
    <t>Larger APK size (likely 5-10MB overhead) leads to fewer downloads in markets with data caps or slow connections, longer install times, more storage consumption on user devices, and increased build/compile times for developers.</t>
  </si>
  <si>
    <t>Flutter APK Size Optimization; Mobile App Performance Best Practices</t>
  </si>
  <si>
    <t>UIUX-MD-035</t>
  </si>
  <si>
    <t>Multiple button styles</t>
  </si>
  <si>
    <t>Five different button designs throughout app</t>
  </si>
  <si>
    <t>UIUX-MD-036</t>
  </si>
  <si>
    <t>Outdated Material Design</t>
  </si>
  <si>
    <t>Using Material Design 1.0 components</t>
  </si>
  <si>
    <t>App looks dated compared to competitors</t>
  </si>
  <si>
    <t>UIUX-MD-037</t>
  </si>
  <si>
    <t>Profile image distorted</t>
  </si>
  <si>
    <t>*mobile-driver/lib/modules/profile/widgets/custom_profile_image_widget.dart</t>
  </si>
  <si>
    <t>Square images stretched in circular frame</t>
  </si>
  <si>
    <t>Unprofessional profile appearance</t>
  </si>
  <si>
    <t>UIUX-MD-038</t>
  </si>
  <si>
    <t>Font inconsistency</t>
  </si>
  <si>
    <t>Mix of system and custom fonts</t>
  </si>
  <si>
    <t>UIUX-DF-001</t>
  </si>
  <si>
    <t>Mobile view completely broken</t>
  </si>
  <si>
    <t>*dashboard-frontend/src/outline/drawer/drawer.jsx</t>
  </si>
  <si>
    <t>Sidebar navigation covers entire screen on mobile with no way to close</t>
  </si>
  <si>
    <t>Dashboard unusable on mobile devices, preventing emergency admin access</t>
  </si>
  <si>
    <t>UIUX-DF-002</t>
  </si>
  <si>
    <t>No Code Splitting for Routes</t>
  </si>
  <si>
    <t>*src\AppNavigation\Navigation.jsx:15-136</t>
  </si>
  <si>
    <t>Routes use React.lazy but many components loaded together. No route-based code splitting optimization. Bundle likely over optimal size.</t>
  </si>
  <si>
    <t>Large initial bundle size. Slow first page load. Users download code for features they never use. Poor performance on slow connections.</t>
  </si>
  <si>
    <t>*Implement proper route-based code splitting.</t>
  </si>
  <si>
    <t>Web Performance Best Practices, Core Web Vitals</t>
  </si>
  <si>
    <t>UIUX-DF-003</t>
  </si>
  <si>
    <t>Missing React.memo on Frequently Re-rendered Components</t>
  </si>
  <si>
    <t>Found only 130 useMemo/useCallback/memo usage across entire codebase with 100+ components</t>
  </si>
  <si>
    <t>Heavy components not memoized. Data grid components, map components re-render unnecessarily on parent state changes.</t>
  </si>
  <si>
    <t>Excessive re-renders. Laggy UI. Poor performance on low-end devices. High CPU usage. Bad user experience.</t>
  </si>
  <si>
    <t>*Wrap expensive components with React.memo.</t>
  </si>
  <si>
    <t>React Performance Optimization Patterns</t>
  </si>
  <si>
    <t>UIUX-DF-004</t>
  </si>
  <si>
    <t>Unoptimized Firebase Queries</t>
  </si>
  <si>
    <t>*src\Firebase\Firebase.js:370-409</t>
  </si>
  <si>
    <t>getCustomers function loads with limit(15) but no pagination offset. Queries run on every collection change without debouncing.</t>
  </si>
  <si>
    <t>Excessive database reads. High Firebase costs. Slow data loading. Poor scalability as data grows.</t>
  </si>
  <si>
    <t>*Implement proper pagination with startAfter/endBefore.</t>
  </si>
  <si>
    <t>Firebase Best Practices, Database Optimization</t>
  </si>
  <si>
    <t>UIUX-DF-005</t>
  </si>
  <si>
    <t>Large Number of State Updates in Render</t>
  </si>
  <si>
    <t>*src\Firebase\Firebase.js:390-402</t>
  </si>
  <si>
    <t>Complex state updates inside onSnapshot callback. Nested array operations and filters executed on every message change.</t>
  </si>
  <si>
    <t>Performance bottleneck on large data sets. UI freezes during updates. Poor mobile performance.</t>
  </si>
  <si>
    <t>*Move complex operations outside render cycle.</t>
  </si>
  <si>
    <t>React Performance Best Practices</t>
  </si>
  <si>
    <t>UIUX-DF-006</t>
  </si>
  <si>
    <t>Dashboard charts overflow on small screens</t>
  </si>
  <si>
    <t>*dashboard-frontend/src/Components/home/weeklytrips.jsx</t>
  </si>
  <si>
    <t>Chart.js charts in analytics dashboard don't resize properly below 1366px width</t>
  </si>
  <si>
    <t>Charts become unreadable on smaller laptop screens, affecting 30% of admin users</t>
  </si>
  <si>
    <t>UIUX-DF-007</t>
  </si>
  <si>
    <t>Back button doesn't work with HashRouter</t>
  </si>
  <si>
    <t>*dashboard-frontend/src/AppNavigation/Navigation.jsx</t>
  </si>
  <si>
    <t>Browser back button fails to navigate properly due to HashRouter implementation</t>
  </si>
  <si>
    <t>Users get stuck in navigation loops requiring page refresh</t>
  </si>
  <si>
    <t>UIUX-DF-008</t>
  </si>
  <si>
    <t>No keyboard navigation for data grids</t>
  </si>
  <si>
    <t>*dashboard-frontend/src/shared/data-grid/data-grid.jsx</t>
  </si>
  <si>
    <t>MUI DataGrid components can't be navigated with keyboard only</t>
  </si>
  <si>
    <t>Dashboard inaccessible for users with disabilities</t>
  </si>
  <si>
    <t>UIUX-DF-009</t>
  </si>
  <si>
    <t>Poor color contrast in dark sections</t>
  </si>
  <si>
    <t>*dashboard-frontend/src/Components/home/recentTripsTable.jsx</t>
  </si>
  <si>
    <t>Gray text on dark blue background fails WCAG contrast requirements</t>
  </si>
  <si>
    <t>Text illegible for users with visual impairments</t>
  </si>
  <si>
    <t>UIUX-DF-010</t>
  </si>
  <si>
    <t>Map doesn't resize with viewport</t>
  </si>
  <si>
    <t>*dashboard-frontend/src/shared/mapController/map.controller.jsx</t>
  </si>
  <si>
    <t>Google Maps component has fixed dimensions not responding to window resize</t>
  </si>
  <si>
    <t>Map partially hidden on smaller screens</t>
  </si>
  <si>
    <t>UIUX-DF-011</t>
  </si>
  <si>
    <t>RTL layout broken for Arabic</t>
  </si>
  <si>
    <t>*dashboard-frontend/src/App.jsx</t>
  </si>
  <si>
    <t>Arabic language selection doesn't properly mirror layout</t>
  </si>
  <si>
    <t>Arabic interface unusable with overlapping elements</t>
  </si>
  <si>
    <t>UIUX-DF-012</t>
  </si>
  <si>
    <t>Sidebar state lost on refresh</t>
  </si>
  <si>
    <t>*dashboard-frontend/src/outline/drawer/drawerlink.jsx</t>
  </si>
  <si>
    <t>Expanded/collapsed sidebar state not persisted</t>
  </si>
  <si>
    <t>Users must reconfigure layout preferences repeatedly</t>
  </si>
  <si>
    <t>UIUX-DF-013</t>
  </si>
  <si>
    <t>No focus indicators</t>
  </si>
  <si>
    <t>*dashboard-frontend/src/index.css</t>
  </si>
  <si>
    <t>Focus outline removed with outline: none without alternative</t>
  </si>
  <si>
    <t>Keyboard users cannot see current focus</t>
  </si>
  <si>
    <t>UIUX-DF-014</t>
  </si>
  <si>
    <t>No Aria Labels on Interactive Elements</t>
  </si>
  <si>
    <t>Only 251 aria-/role= attributes found across 100+ files</t>
  </si>
  <si>
    <t>Many buttons, inputs, and interactive elements missing ARIA labels and roles. Insufficient accessibility markup.</t>
  </si>
  <si>
    <t>Screen readers cannot properly announce elements. Keyboard navigation unclear. WCAG compliance failures. Inaccessible to users with disabilities.</t>
  </si>
  <si>
    <t>WCAG 2.1 Level AA - 1.3.1, 4.1.2, ADA Compliance</t>
  </si>
  <si>
    <t>UIUX-DF-015</t>
  </si>
  <si>
    <t>Missing Alt Text on Images</t>
  </si>
  <si>
    <t>*src\Components\login\Login.jsx:91</t>
  </si>
  <si>
    <t>Images rendered without alt attributes or with empty alt. Logo images, decorative images need proper alt text.</t>
  </si>
  <si>
    <t>Screen readers cannot describe images. SEO impact. Broken image indicators unclear. Accessibility violation.</t>
  </si>
  <si>
    <t>*Add descriptive alt text to all images. Use empty alt="" for decorative images.</t>
  </si>
  <si>
    <t>WCAG 2.1 - 1.1.1 Non-text Content</t>
  </si>
  <si>
    <t>UIUX-DF-016</t>
  </si>
  <si>
    <t>No Focus Management After Modal Close</t>
  </si>
  <si>
    <t>Found in multiple modal components</t>
  </si>
  <si>
    <t>Modals don't return focus to triggering element after close. Focus lost or jumps to top of page.</t>
  </si>
  <si>
    <t>Poor keyboard navigation. Confusing for keyboard and screen reader users. WCAG violation. Users lose place in interface.</t>
  </si>
  <si>
    <t>*Implement focus trap in modals.</t>
  </si>
  <si>
    <t>WCAG 2.1 - 2.4.3 Focus Order, WAI-ARIA Authoring Practices</t>
  </si>
  <si>
    <t>UIUX-DF-017</t>
  </si>
  <si>
    <t>UI/UX - Localization</t>
  </si>
  <si>
    <t>Hardcoded Strings Not Internationalized</t>
  </si>
  <si>
    <t>Found throughout codebase</t>
  </si>
  <si>
    <t>Many UI strings hardcoded in English instead of using translation keys. Inconsistent i18n implementation.</t>
  </si>
  <si>
    <t>Cannot be translated. Incomplete internationalization. Poor experience for non-English users. Maintenance issues.</t>
  </si>
  <si>
    <t>*Move all user-facing strings to translation files (ar.json, en.json).</t>
  </si>
  <si>
    <t>i18n Best Practices, Localization Standards</t>
  </si>
  <si>
    <t>UIUX-DF-018</t>
  </si>
  <si>
    <t>No Empty States for Data Grids</t>
  </si>
  <si>
    <t>Data grid components don't show proper empty states</t>
  </si>
  <si>
    <t>When no data available, grids show blank or confusing states. No helpful messaging or call-to-action.</t>
  </si>
  <si>
    <t>Confusing user experience. Users unsure if data is loading, error occurred, or truly empty. No guidance on next steps.</t>
  </si>
  <si>
    <t>*Add empty state components with helpful messages, icons, and action buttons.</t>
  </si>
  <si>
    <t>UX Design Patterns, Material Design Guidelines</t>
  </si>
  <si>
    <t>UIUX-DF-019</t>
  </si>
  <si>
    <t>Error Messages Too Technical</t>
  </si>
  <si>
    <t>*src\Components\contexts\errmsgContext\errMsgContext.jsx:57-78</t>
  </si>
  <si>
    <t>Error messages expose technical details: "Internal Server Error", "Not Acceptable (406)", "bad request".</t>
  </si>
  <si>
    <t>Confusing for non-technical users. Exposes system information. Poor user experience. Doesn't guide user to resolution.</t>
  </si>
  <si>
    <t>*Use user-friendly error messages.</t>
  </si>
  <si>
    <t>UX Writing Guidelines, Error Message Best Practices</t>
  </si>
  <si>
    <t>UIUX-DF-020</t>
  </si>
  <si>
    <t>Inconsistent Button Disabled States</t>
  </si>
  <si>
    <t>Found throughout forms</t>
  </si>
  <si>
    <t>Some forms disable submit button during loading, others don't. Inconsistent visual feedback. No loading indicator on buttons.</t>
  </si>
  <si>
    <t>Users click multiple times. Duplicate requests sent. Inconsistent behavior confuses users. Poor form UX.</t>
  </si>
  <si>
    <t>*Standardize disabled button states.</t>
  </si>
  <si>
    <t>Material Design Guidelines, Form UX Best Practices</t>
  </si>
  <si>
    <t>UIUX-DF-021</t>
  </si>
  <si>
    <t>Inconsistent Date Formatting</t>
  </si>
  <si>
    <t>Multiple date formatting approaches used</t>
  </si>
  <si>
    <t>mix of moment, date-fns, dayjs. Inconsistent formats across UI. No centralized date formatting utility.</t>
  </si>
  <si>
    <t>Confusing for users. Inconsistent UX. Larger bundle (3 date libraries). Timezone handling issues.</t>
  </si>
  <si>
    <t>*Choose one date library (date-fns recommended).</t>
  </si>
  <si>
    <t>UX Consistency, Bundle Size Optimization</t>
  </si>
  <si>
    <t>UIUX-DF-022</t>
  </si>
  <si>
    <t>Mobile Responsiveness Issues</t>
  </si>
  <si>
    <t>*src\App.jsx:48-55</t>
  </si>
  <si>
    <t>Hardcoded heights and overflow styles. No mobile-specific breakpoints visible. Likely poor mobile experience.</t>
  </si>
  <si>
    <t>Poor mobile UX. Horizontal scrolling. Overlapping elements. Touch targets too small. Users on mobile frustrated.</t>
  </si>
  <si>
    <t>*Use CSS Grid/Flexbox properly.</t>
  </si>
  <si>
    <t>Responsive Design Best Practices, Mobile UX Guidelines</t>
  </si>
  <si>
    <t>UIUX-DF-023</t>
  </si>
  <si>
    <t>Inconsistent button styles</t>
  </si>
  <si>
    <t>*dashboard-frontend/src/shared/grid-data-buttons/grid-data-buttons.jsx</t>
  </si>
  <si>
    <t>Mix of Material-UI, Bootstrap, and custom CSS button styles</t>
  </si>
  <si>
    <t>Unprofessional appearance and user confusion</t>
  </si>
  <si>
    <t> Normalize the component styling per the design system and run a UX review of the updated elements.</t>
  </si>
  <si>
    <t>UIUX-DF-024</t>
  </si>
  <si>
    <t>Three different loading spinners</t>
  </si>
  <si>
    <t>*dashboard-frontend/src/shared/errormodal/errormodal.jsx</t>
  </si>
  <si>
    <t>Different loading indicators across pages (MUI circular, custom dots, text)</t>
  </si>
  <si>
    <t>Inconsistent user experience and unprofessional appearance</t>
  </si>
  <si>
    <t>UIUX-DF-025</t>
  </si>
  <si>
    <t>Table columns misaligned with headers</t>
  </si>
  <si>
    <t>Driver list table headers don't align with data columns when scrolling</t>
  </si>
  <si>
    <t>Difficulty reading tabular data and professional appearance issues</t>
  </si>
  <si>
    <t>UIUX-DF-026</t>
  </si>
  <si>
    <t>No breadcrumb navigation</t>
  </si>
  <si>
    <t>Deep navigation paths have no breadcrumb trail for orientation</t>
  </si>
  <si>
    <t>Users get lost in multi-level navigation</t>
  </si>
  <si>
    <t>UIUX-DF-027</t>
  </si>
  <si>
    <t>Missing ARIA labels</t>
  </si>
  <si>
    <t>Icon buttons have no aria-label attributes for screen readers</t>
  </si>
  <si>
    <t>Screen reader users cannot understand button purposes</t>
  </si>
  <si>
    <t>UIUX-DF-028</t>
  </si>
  <si>
    <t>Status colors not colorblind safe</t>
  </si>
  <si>
    <t>Red/green status indicators indistinguishable for colorblind users</t>
  </si>
  <si>
    <t>8% of male users cannot distinguish trip statuses</t>
  </si>
  <si>
    <t>UIUX-DF-029</t>
  </si>
  <si>
    <t>Horizontal scroll on medium screens</t>
  </si>
  <si>
    <t>*dashboard-frontend/src/Components/home/homedata.jsx</t>
  </si>
  <si>
    <t>Content wider than viewport at 1024px-1366px widths</t>
  </si>
  <si>
    <t>Annoying horizontal scrollbar on common screen sizes</t>
  </si>
  <si>
    <t>UIUX-DF-030</t>
  </si>
  <si>
    <t>Inconsistent font sizes</t>
  </si>
  <si>
    <t>Random font sizes (12px, 13px, 14px, 15px, 16px) without system</t>
  </si>
  <si>
    <t>Visual hierarchy confusion</t>
  </si>
  <si>
    <t>UIUX-DF-031</t>
  </si>
  <si>
    <t>Mixed icon libraries</t>
  </si>
  <si>
    <t>Using Material Icons, Font Awesome, and custom SVGs</t>
  </si>
  <si>
    <t>Inconsistent icon styles and increased bundle size</t>
  </si>
  <si>
    <t>UIUX-DF-032</t>
  </si>
  <si>
    <t>Modal backdrop z-index issues</t>
  </si>
  <si>
    <t>*dashboard-frontend/src/shared/deleteDialog/DeleteDialog.jsx</t>
  </si>
  <si>
    <t>Some modals appear behind backdrop making them unusable</t>
  </si>
  <si>
    <t>Users cannot interact with important dialogs</t>
  </si>
  <si>
    <t>UIUX-DF-033</t>
  </si>
  <si>
    <t>Deep links don't work</t>
  </si>
  <si>
    <t>Cannot share direct links to specific pages</t>
  </si>
  <si>
    <t>Cannot bookmark or share specific views</t>
  </si>
  <si>
    <t>UIUX-DF-034</t>
  </si>
  <si>
    <t>No Confirmation on Destructive Actions</t>
  </si>
  <si>
    <t>Modal components for delete operations</t>
  </si>
  <si>
    <t>Some delete modals don't require confirmation or typing entity name. Easy to accidentally delete important data.</t>
  </si>
  <si>
    <t>Accidental data loss. Poor user experience. No undo mechanism visible. Users fear using delete functions.</t>
  </si>
  <si>
    <t>UX Best Practices, Preventing User Errors</t>
  </si>
  <si>
    <t>UIUX-DF-035</t>
  </si>
  <si>
    <t>Inconsistent spacing between sections</t>
  </si>
  <si>
    <t>Random mix of margin and padding values (8px, 10px, 16px, 20px)</t>
  </si>
  <si>
    <t>Unprofessional appearance and visual rhythm disruption</t>
  </si>
  <si>
    <t>UIUX-DF-036</t>
  </si>
  <si>
    <t>Footer overlaps content</t>
  </si>
  <si>
    <t>*dashboard-frontend/src/outline/layout/layout.jsx</t>
  </si>
  <si>
    <t>Fixed footer covers bottom content on short viewports</t>
  </si>
  <si>
    <t>Last row of tables hidden behind footer</t>
  </si>
  <si>
    <t>UIUX-DF-037</t>
  </si>
  <si>
    <t>Print styles missing</t>
  </si>
  <si>
    <t>No print stylesheet causing broken layout when printing</t>
  </si>
  <si>
    <t>Cannot print reports or invoices properly</t>
  </si>
  <si>
    <t>UIUX-DF-038</t>
  </si>
  <si>
    <t>Brand colors inconsistent</t>
  </si>
  <si>
    <t>*dashboard-frontend/src/shared/header/header.jsx</t>
  </si>
  <si>
    <t>Multiple shades of primary blue (#273C8D, #2744A1, #1E3A8A)</t>
  </si>
  <si>
    <t>Brand identity dilution</t>
  </si>
  <si>
    <t>UIUX-DF-039</t>
  </si>
  <si>
    <t>Tooltip styles vary</t>
  </si>
  <si>
    <t>Mix of MUI tooltips and custom tooltips</t>
  </si>
  <si>
    <t>Inconsistent information presentation</t>
  </si>
  <si>
    <t>UIUX-MB-001</t>
  </si>
  <si>
    <t>Layout</t>
  </si>
  <si>
    <t>Payment page renders an empty layout before the checkout iframe</t>
  </si>
  <si>
    <t>mobile-backend/Transaction/templates/checkout_page.html:1-27</t>
  </si>
  <si>
    <t>The checkout template only injects the Mastercard script and leaves &lt;body&gt; empty, so users just see a blank white screen until the third-party overlay loads.</t>
  </si>
  <si>
    <t>Riders or drivers assume the page is broken or spoofed and abandon the payment step, raising failure rates and support tickets.</t>
  </si>
  <si>
    <t>Add branded container, heading, and explanatory copy before calling Checkout.showPaymentPage so users immediately see JTNY context.</t>
  </si>
  <si>
    <t>Nielsen Norman - Visibility of System Status</t>
  </si>
  <si>
    <t>UIUX-MB-002</t>
  </si>
  <si>
    <t>Responsiveness</t>
  </si>
  <si>
    <t>Checkout page missing viewport meta</t>
  </si>
  <si>
    <t>mobile-backend/Transaction/templates/checkout_page.html:1-5</t>
  </si>
  <si>
    <t>Without &lt;meta name="viewport"&gt; mobile browsers default to desktop scaling, so the Mastercard iframe shrinks below readable size and requires pinch zoom.</t>
  </si>
  <si>
    <t>Payment completion time increases and some drivers cannot tap the confirm button due to tiny hit areas.</t>
  </si>
  <si>
    <t>Add responsive viewport meta and constrain the iframe inside a flex container with mobile-friendly min-height.</t>
  </si>
  <si>
    <t>Google Mobile Web Vitals</t>
  </si>
  <si>
    <t>UIUX-MB-003</t>
  </si>
  <si>
    <t>Navigation</t>
  </si>
  <si>
    <t>Hosted checkout offers no visible cancel/back affordance</t>
  </si>
  <si>
    <t>mobile-backend/Transaction/templates/checkout_page.html:14-24</t>
  </si>
  <si>
    <t>Cancel handling only logs to console and there is no UI link to return to JTNY, trapping users if they tap the wrong payment method.</t>
  </si>
  <si>
    <t>Users close the tab entirely, leaving the app in a pending state and creating double bookings when they retry.</t>
  </si>
  <si>
    <t>Expose a cancel button or link in the page chrome that calls Checkout.hidePaymentPage() and navigates back to the trip screen.</t>
  </si>
  <si>
    <t>W3C Payment UX - Escape Options</t>
  </si>
  <si>
    <t>UIUX-MB-004</t>
  </si>
  <si>
    <t>Accessibility</t>
  </si>
  <si>
    <t>Checkout page lacks language, title, and instructions</t>
  </si>
  <si>
    <t>There is no lang attribute, page title, or instructions before the iframe loads, so screen readers announce an untitled document with no focusable elements until the gateway injects content.</t>
  </si>
  <si>
    <t>Keyboard and assistive-tech users cannot complete payments because focus never lands on an actionable element.</t>
  </si>
  <si>
    <t>Add lang="en", a descriptive title, and visually hidden instructions before invoking Checkout.showPaymentPage().</t>
  </si>
  <si>
    <t>WCAG 2.1 - 2.4.2 Page Titled</t>
  </si>
  <si>
    <t>UIUX-MB-005</t>
  </si>
  <si>
    <t>User Flow</t>
  </si>
  <si>
    <t>Driver phone verification deletes accounts after OTP expiry</t>
  </si>
  <si>
    <t>mobile-backend/Driver/views.py:162-205</t>
  </si>
  <si>
    <t>VerifyPhoneNumberView deletes the driver profile if otp_valid_until has passed, forcing the user to start signup from scratch.</t>
  </si>
  <si>
    <t>Drivers think the app lost their data and abandon onboarding, increasing acquisition costs.</t>
  </si>
  <si>
    <t>Preserve the account, resend OTP, and communicate expiry with clear UI feedback instead of deleting records.</t>
  </si>
  <si>
    <t>Nielsen Norman - Error Recovery</t>
  </si>
  <si>
    <t>UIUX-MB-006</t>
  </si>
  <si>
    <t>Driver username verification deletes profiles</t>
  </si>
  <si>
    <t>mobile-backend/Driver/views.py:209-233</t>
  </si>
  <si>
    <t>If otp_valid_until has lapsed the code deletes the DriverModel and account, which surprises users who simply mistyped the username.</t>
  </si>
  <si>
    <t>Legitimate drivers are locked out and must re-upload documents, delaying activation.</t>
  </si>
  <si>
    <t>Stop destructive deletes during verification and surface clear UI messaging about expired OTPs.</t>
  </si>
  <si>
    <t>ISO 9241-110 - Error Tolerance</t>
  </si>
  <si>
    <t>UIUX-MB-007</t>
  </si>
  <si>
    <t>Passenger phone verification mirrors the destructive delete pattern</t>
  </si>
  <si>
    <t>mobile-backend/Passenger/views.py:149-195</t>
  </si>
  <si>
    <t>Passenger VerifyPhoneNumberView deletes PassengerModel and account records when the OTP expires, causing the same restart loop for riders.</t>
  </si>
  <si>
    <t>Riders abandon registration because their progress vanishes without explanation.</t>
  </si>
  <si>
    <t>Retain the record, regenerate OTPs, and return error codes the mobile app can translate into actionable UI.</t>
  </si>
  <si>
    <t>Nielsen Norman - User Control and Freedom</t>
  </si>
  <si>
    <t>UIUX-MB-008</t>
  </si>
  <si>
    <t>AuthTokenView logs users out with "Invalid token" only</t>
  </si>
  <si>
    <t>mobile-backend/Account/views.py:223-272</t>
  </si>
  <si>
    <t>Expired tokens trigger a 401 with just {"detail": "Invalid token."}, leaving the mobile UI to guess what to do next.</t>
  </si>
  <si>
    <t>Drivers experience sudden logouts mid-trip and cannot tell whether they should re-enter credentials or refresh the token.</t>
  </si>
  <si>
    <t>Return machine-readable error codes and refresh hints so the client can automatically renew sessions or show a guided modal.</t>
  </si>
  <si>
    <t>OWASP MASVS UX - Session Management</t>
  </si>
  <si>
    <t>UIUX-MB-009</t>
  </si>
  <si>
    <t>No document title or branding on checkout page</t>
  </si>
  <si>
    <t>The template lacks &lt;!DOCTYPE&gt;, &lt;title&gt;, or any JTNY branding, so browser tabs display the raw URL and users cannot confirm they are on an official payment page.</t>
  </si>
  <si>
    <t>Trust plummets on payment flows and phishing detection relies on guesswork, discouraging card entry.</t>
  </si>
  <si>
    <t>Define an HTML5 doctype, descriptive title, meta charset, and JTNY logo/header before loading the gateway script.</t>
  </si>
  <si>
    <t>OWASP ASVS 9.1 Transaction Integrity UI</t>
  </si>
  <si>
    <t>UIUX-MB-010</t>
  </si>
  <si>
    <t>OTP email locked to 600px with no media queries</t>
  </si>
  <si>
    <t>mobile-backend/Account/emailMessage.py:74-134</t>
  </si>
  <si>
    <t>The OTP template hard-codes max-width 600px tables and large paddings but provides no mobile-specific media queries, so content truncates on 320px devices.</t>
  </si>
  <si>
    <t>Passengers reading the OTP on small phones must horizontally scroll to see the code, delaying verification.</t>
  </si>
  <si>
    <t>Add @media rules to shrink padding, reduce font sizes, and let the container span 100% width on narrow screens.</t>
  </si>
  <si>
    <t>Litmus Responsive Email Guidelines</t>
  </si>
  <si>
    <t>UIUX-MB-011</t>
  </si>
  <si>
    <t>Color/Theme</t>
  </si>
  <si>
    <t>OTP email uses generic blue palette</t>
  </si>
  <si>
    <t>mobile-backend/Account/emailMessage.py:82-124</t>
  </si>
  <si>
    <t>Primary color #1a56db in the template does not match the orange palette used across JTNY mobile apps, creating a disjointed experience.</t>
  </si>
  <si>
    <t>Users question whether the email is legitimate and contact support to confirm authenticity.</t>
  </si>
  <si>
    <t>Align header, buttons, and accent colors with JTNY brand tokens (e.g., #FF6C44 / #FEE8DC).</t>
  </si>
  <si>
    <t>Material Design - Theming Consistency</t>
  </si>
  <si>
    <t>UIUX-MB-012</t>
  </si>
  <si>
    <t>Typography</t>
  </si>
  <si>
    <t>OTP digits spaced with 8px letter-spacing</t>
  </si>
  <si>
    <t>mobile-backend/Account/emailMessage.py:106-112</t>
  </si>
  <si>
    <t>The OTP value applies letter-spacing:8px, causing each digit to float apart and wrap on smaller screens.</t>
  </si>
  <si>
    <t>Verification failures increase because users transpose or skip digits when switching between email and app.</t>
  </si>
  <si>
    <t>Display the OTP in a monospace font with minimal spacing or chunk digits into smaller groups.</t>
  </si>
  <si>
    <t>Nielsen Norman - Error Prevention</t>
  </si>
  <si>
    <t>UIUX-MB-013</t>
  </si>
  <si>
    <t>OTP email lacks a primary action</t>
  </si>
  <si>
    <t>mobile-backend/Account/emailMessage.py:96-125</t>
  </si>
  <si>
    <t>The template describes the OTP but does not include a prominent CTA (e.g., "Open JTNY App") to guide users after reading the code.</t>
  </si>
  <si>
    <t>Less technical users are unsure whether to return to the app or reply to the email, adding friction to onboarding.</t>
  </si>
  <si>
    <t>Add a primary action button deep-linking to the app or clearly instruct readers to go back to the pending verification screen.</t>
  </si>
  <si>
    <t>Nielsen Norman - Clear Calls to Action</t>
  </si>
  <si>
    <t>UIUX-MB-014</t>
  </si>
  <si>
    <t>Error and cancel callbacks only log to console</t>
  </si>
  <si>
    <t>mobile-backend/Transaction/templates/checkout_page.html:6-18</t>
  </si>
  <si>
    <t>When payment fails, the script logs JSON to console with no on-screen messaging or focus management.</t>
  </si>
  <si>
    <t>People assume the app froze and attempt the transaction multiple times, risking duplicate charges.</t>
  </si>
  <si>
    <t>Display inline error banners, move focus to them, and provide a retry link when errorCallback or cancelCallback fires.</t>
  </si>
  <si>
    <t>WCAG 2.1 - 3.3.1 Error Identification</t>
  </si>
  <si>
    <t>UIUX-MB-015</t>
  </si>
  <si>
    <t>OTP email relies on color alone to signal status</t>
  </si>
  <si>
    <t>mobile-backend/Account/emailMessage.py:90-120</t>
  </si>
  <si>
    <t>Success and warning cues are communicated only through color (blue headers, grey text) without icons or text labels.</t>
  </si>
  <si>
    <t>Colorblind users may miss that the OTP expires in five minutes or that the message is official.</t>
  </si>
  <si>
    <t>Add text labels or icons for status messages and ensure contrast ratios meet WCAG AA.</t>
  </si>
  <si>
    <t>WCAG 2.1 - 1.4.1 Use of Color</t>
  </si>
  <si>
    <t>UIUX-MB-016</t>
  </si>
  <si>
    <t>Driver phone verification returns generic strings</t>
  </si>
  <si>
    <t>mobile-backend/Driver/views.py:167-205</t>
  </si>
  <si>
    <t>The endpoint responds with plain text "Not Found" / "Found" instead of structured error codes, so the apps cannot display contextual guidance.</t>
  </si>
  <si>
    <t>Users retry blindly and flood support because they do not know whether the number is already registered or the OTP expired.</t>
  </si>
  <si>
    <t>Return structured JSON with reason codes and localized copy keys.</t>
  </si>
  <si>
    <t>Jakob Nielsen - Match Between System and Real World</t>
  </si>
  <si>
    <t>UIUX-MB-017</t>
  </si>
  <si>
    <t>Passenger username verification returns raw 404 text</t>
  </si>
  <si>
    <t>mobile-backend/Passenger/views.py:196-224</t>
  </si>
  <si>
    <t>The view replies with the literal string "Not Found" which the UI surfaces verbatim, giving no indication whether the username is available or the OTP expired.</t>
  </si>
  <si>
    <t>Users retry repeatedly and eventually give up on signup.</t>
  </si>
  <si>
    <t>Provide structured JSON responses with status enums so the app can craft friendly guidance.</t>
  </si>
  <si>
    <t>ISO 9241-112 - Presentation of Information</t>
  </si>
  <si>
    <t>UIUX-MB-018</t>
  </si>
  <si>
    <t>Passenger email verification lacks fallback paths</t>
  </si>
  <si>
    <t>mobile-backend/Passenger/views.py:221-247</t>
  </si>
  <si>
    <t>If a passenger loses email access the endpoint simply returns "Not Found" with no CTA to resend or use SMS, stranding the user in the flow.</t>
  </si>
  <si>
    <t>Signup completion drops whenever users mistype their email because there is no inline recovery path.</t>
  </si>
  <si>
    <t>Return flags that allow the UI to offer resend-buttons or alternative verification methods.</t>
  </si>
  <si>
    <t>Nielsen Norman - Flexibility and Efficiency</t>
  </si>
  <si>
    <t>UIUX-MB-019</t>
  </si>
  <si>
    <t>Passenger login returns HTTP 422 with no guidance</t>
  </si>
  <si>
    <t>mobile-backend/Account/views.py:167-210</t>
  </si>
  <si>
    <t>When phone verification is pending the API returns HTTP 422 with "User needs to verify phone number" but no metadata such as seconds remaining or resend token.</t>
  </si>
  <si>
    <t>The app can only show a generic toast so riders do not know whether to wait, request a new OTP, or contact support.</t>
  </si>
  <si>
    <t>Augment the response with retry timers and actionable links so the client can guide the user.</t>
  </si>
  <si>
    <t>Nielsen Norman - Help Users Recover from Errors</t>
  </si>
  <si>
    <t>UIUX-MB-020</t>
  </si>
  <si>
    <t>Trip creation returns bare string when no drivers available</t>
  </si>
  <si>
    <t>mobile-backend/Trip/views.py:280-311</t>
  </si>
  <si>
    <t>When supply is exhausted the API returns a plain message without wait time, queue position, or retry guidance.</t>
  </si>
  <si>
    <t>Passengers spam the request button, flooding drivers with duplicate offers and degrading UX.</t>
  </si>
  <si>
    <t>Return structured payload with estimated wait and offer to notify the rider when a driver is free.</t>
  </si>
  <si>
    <t>Uber Rider UX Benchmark - Supply Shortage</t>
  </si>
  <si>
    <t>UIUX-MB-021</t>
  </si>
  <si>
    <t>Checkout markup lacks skeleton loader or progress indicator</t>
  </si>
  <si>
    <t>Users stare at a blank page for several seconds while the Mastercard script loads because there is no spinner or message.</t>
  </si>
  <si>
    <t>Slow networks make riders think the page froze, so they back out and create duplicate payment attempts.</t>
  </si>
  <si>
    <t>Show a JTNY spinner or progress bar until Checkout.showPaymentPage resolved.</t>
  </si>
  <si>
    <t>UIUX-MB-022</t>
  </si>
  <si>
    <t>OTP email offers no support or escalation link</t>
  </si>
  <si>
    <t>mobile-backend/Account/emailMessage.py:118-130</t>
  </si>
  <si>
    <t>Footer contains placeholder privacy links but no clear path to contact support if the user did not request an OTP.</t>
  </si>
  <si>
    <t>Users who suspect fraud have to guess how to reach JTNY, delaying fraud reporting.</t>
  </si>
  <si>
    <t>Add a support email/phone CTA and guidance for users who did not initiate the request.</t>
  </si>
  <si>
    <t>ISO 9241-112 - User Guidance</t>
  </si>
  <si>
    <t>UIUX-MB-023</t>
  </si>
  <si>
    <t>Hosted checkout inherits Mastercard theme</t>
  </si>
  <si>
    <t>mobile-backend/Transaction/templates/checkout_page.html:1-23</t>
  </si>
  <si>
    <t>Checkout.configure is called with only the session id, so CTAs, focus rings, and backgrounds use Mastercard defaults instead of JTNY styles.</t>
  </si>
  <si>
    <t>Brand trust suffers on the most sensitive flow and users hesitate to enter card data.</t>
  </si>
  <si>
    <t>Pass style overrides (button colors, fonts) through Checkout.configure and wrap the iframe inside a JTNY-branded shell.</t>
  </si>
  <si>
    <t>Mastercard Hosted Checkout UX Guide</t>
  </si>
  <si>
    <t>UIUX-MB-024</t>
  </si>
  <si>
    <t>OTP template mixes inconsistent heading sizes</t>
  </si>
  <si>
    <t>mobile-backend/Account/emailMessage.py:88-122</t>
  </si>
  <si>
    <t>Headings jump from 24px to 16px without a clear scale and the body falls back to Arial, which does not match the app typography.</t>
  </si>
  <si>
    <t>Brand perception drops and users skim past important warnings like OTP expiry.</t>
  </si>
  <si>
    <t>Adopt the same typography scale as the mobile apps (e.g., Inter) and define consistent line heights.</t>
  </si>
  <si>
    <t>Apple HIG - Typography</t>
  </si>
  <si>
    <t>UIUX-MB-025</t>
  </si>
  <si>
    <t>OTP email lacks RTL direction support</t>
  </si>
  <si>
    <t>mobile-backend/Account/emailMessage.py:82-125</t>
  </si>
  <si>
    <t>Markup hardcodes lang="en" and left-aligned text, so Arabic readers see misaligned copy and OTP digits reverse when mirroring is enabled.</t>
  </si>
  <si>
    <t>Key MENA markets experience mirrored layouts that make the OTP unreadable.</t>
  </si>
  <si>
    <t>Detect locale and add dir attributes plus mirrored spacing for RTL languages.</t>
  </si>
  <si>
    <t>W3C Internationalization Techniques</t>
  </si>
  <si>
    <t>UIUX-MB-026</t>
  </si>
  <si>
    <t>OTP header spacing assumes desktop margins</t>
  </si>
  <si>
    <t>mobile-backend/Account/emailMessage.py:90-105</t>
  </si>
  <si>
    <t>Padding of 40px on both sides compresses the four-line intro copy on small screens, forcing awkward wrapping of the OTP instructions.</t>
  </si>
  <si>
    <t>Critical copy about the 5-minute expiry wraps below the fold on mobile email clients.</t>
  </si>
  <si>
    <t>Reduce padding to ~16px on narrow screens and move the expiry note closer to the OTP box.</t>
  </si>
  <si>
    <t>Litmus Small Screen Email Layout</t>
  </si>
  <si>
    <t>UIUX-DB-001</t>
  </si>
  <si>
    <t>Driver pagination allows unbounded limit</t>
  </si>
  <si>
    <t>dashboard-backend/Driver/views.py:70-95</t>
  </si>
  <si>
    <t>The limit parameter is cast directly from query params with no max guard, so admins can request tens of thousands of drivers in one response.</t>
  </si>
  <si>
    <t>Large responses freeze the React table and block the thread for several seconds, making the dashboard feel unresponsive.</t>
  </si>
  <si>
    <t>Clamp limit to a safe maximum, stream large exports separately, and surface an error when the client requests more.</t>
  </si>
  <si>
    <t>API performance guidelines</t>
  </si>
  <si>
    <t>UIUX-DB-002</t>
  </si>
  <si>
    <t>GarageTrips endpoint lacks pagination</t>
  </si>
  <si>
    <t>dashboard-backend/Trip/views.py:132-190</t>
  </si>
  <si>
    <t>GarageTrips inherits TripListPagination but never reapplies it after filtering, so it returns the entire queryset when filters are absent.</t>
  </si>
  <si>
    <t>Garage operators opening the trips screen wait a long time for data and the dashboard becomes sluggish on older laptops.</t>
  </si>
  <si>
    <t>Apply pagination after filtering and require a date window before executing the query.</t>
  </si>
  <si>
    <t>Large dataset UI pattern</t>
  </si>
  <si>
    <t>UIUX-DB-003</t>
  </si>
  <si>
    <t>Transaction claim endpoint responds with plain OK</t>
  </si>
  <si>
    <t>dashboard-backend/Transaction/views.py:60-150</t>
  </si>
  <si>
    <t>ClaimTransactionListView always returns Response('OK') regardless of success, so the dashboard cannot decide whether to route users back to the list or show a retry CTA.</t>
  </si>
  <si>
    <t>Finance staff stay on the modal and repeatedly click Claim, resulting in duplicate logs.</t>
  </si>
  <si>
    <t>Return structured status payloads (claimed_count, failures) so the UI can advance automatically.</t>
  </si>
  <si>
    <t>Workflow navigation patterns</t>
  </si>
  <si>
    <t>UIUX-DB-004</t>
  </si>
  <si>
    <t>Checkout template misses lang, title, and labels</t>
  </si>
  <si>
    <t>dashboard-backend/Transaction/templates/checkout_page.html:1-30</t>
  </si>
  <si>
    <t>The hosted payment file has no doctype, lang attribute, page title, or instructions. Screen readers announce it as an unknown document until the Mastercard iframe loads.</t>
  </si>
  <si>
    <t>Keyboard users cannot confirm they are on the right page and often abandon payments.</t>
  </si>
  <si>
    <t>Add full HTML semantics and hidden helper text describing the iframe before invoking Checkout.showPaymentPage().</t>
  </si>
  <si>
    <t>WCAG 2.1 - 2.4.2</t>
  </si>
  <si>
    <t>UIUX-DB-005</t>
  </si>
  <si>
    <t>OTP validation deletes accounts after expiry</t>
  </si>
  <si>
    <t>dashboard-backend/Account/views.py:240-320</t>
  </si>
  <si>
    <t>When OTPs expire the backend deletes driver or passenger records instead of guiding the admin to resend, forcing them to recreate accounts manually.</t>
  </si>
  <si>
    <t>This destructive behavior feels like the UI lost data and dramatically increases onboarding time.</t>
  </si>
  <si>
    <t>Preserve accounts, return an EXPIRED status, and surface a resend action to keep the flow intact.</t>
  </si>
  <si>
    <t>Nielsen Norman - error recovery</t>
  </si>
  <si>
    <t>UIUX-DB-006</t>
  </si>
  <si>
    <t>Transaction claim logging happens after the database update</t>
  </si>
  <si>
    <t>dashboard-backend/Transaction/views.py:90-150</t>
  </si>
  <si>
    <t>_create_transaction_claim_log runs after transactions_data.update, so failures during logging silently swallow errors but the UI still shows success.</t>
  </si>
  <si>
    <t>Finance cannot tell whether the claim actually happened because the UI advances even when the log failed.</t>
  </si>
  <si>
    <t>Log before mutating or return a transaction_failed flag so the UI can alert users.</t>
  </si>
  <si>
    <t>Workflow reliability</t>
  </si>
  <si>
    <t>UIUX-DB-007</t>
  </si>
  <si>
    <t>Driver pagination returns nested car/account blocks that break table layouts</t>
  </si>
  <si>
    <t>dashboard-backend/Driver/views.py:61-190</t>
  </si>
  <si>
    <t>DriverPaginationView pipes raw Mongo documents with nested account, car, and car_class arrays. The admin UI has to display these arrays inline, so column widths change per row and the grid header never aligns.</t>
  </si>
  <si>
    <t>Ops teams cannot scan long driver lists because the table jerks horizontally and important cells move off screen.</t>
  </si>
  <si>
    <t>Flatten the projection server side (one row per driver with normalized keys) and expose a schema so the grid can keep stable widths.</t>
  </si>
  <si>
    <t>Admin data table design</t>
  </si>
  <si>
    <t>UIUX-DB-008</t>
  </si>
  <si>
    <t>Passenger pagination omits total counts so grid height jumps</t>
  </si>
  <si>
    <t>dashboard-backend/Passenger/views.py:40-160</t>
  </si>
  <si>
    <t>PassengerPaginationView facets only return passengers_data without total or result counts, forcing the dashboard to guess the number of pages.</t>
  </si>
  <si>
    <t>The table shrinks and grows unpredictably when filters change, which feels like a broken layout.</t>
  </si>
  <si>
    <t>Add total and limit metadata so the UI can reserve space for pagination controls and avoid reflow.</t>
  </si>
  <si>
    <t>Nielsen Norman - consistency and standards</t>
  </si>
  <si>
    <t>UIUX-DB-009</t>
  </si>
  <si>
    <t>Passenger pagination performs expensive regex on phone numbers</t>
  </si>
  <si>
    <t>dashboard-backend/Passenger/views.py:70-130</t>
  </si>
  <si>
    <t>Phone filters run regex on unindexed fields and return every match in one payload, which stalls the UI when CS agents paste partial phone numbers.</t>
  </si>
  <si>
    <t>Filtering passengers during peak support hours causes spinner timeouts and the UI stops responding.</t>
  </si>
  <si>
    <t>Add indexed search fields and return debounced, paginated results.</t>
  </si>
  <si>
    <t>MongoDB UX performance</t>
  </si>
  <si>
    <t>UIUX-DB-010</t>
  </si>
  <si>
    <t>Driver wallet export blocks request thread</t>
  </si>
  <si>
    <t>dashboard-backend/Driver/views.py:300-360</t>
  </si>
  <si>
    <t>The view builds a full pandas data frame in memory for every export, even when admins just need a preview, so the HTTP request blocks for tens of seconds and the UI spinner never resolves.</t>
  </si>
  <si>
    <t>Finance believes the page crashed and reloads, accidentally triggering duplicate exports.</t>
  </si>
  <si>
    <t>Add asynchronous export jobs with status polling so the UI stays responsive.</t>
  </si>
  <si>
    <t>Enterprise dashboard - async exports</t>
  </si>
  <si>
    <t>UIUX-DB-011</t>
  </si>
  <si>
    <t>Push notifications skip severity mapping</t>
  </si>
  <si>
    <t>dashboard-backend/utils/notifications.py:12-40</t>
  </si>
  <si>
    <t>push_notify_user only accepts raw Arabic and English strings and rarely passes notification_type, so client apps style every message with the default grey banner.</t>
  </si>
  <si>
    <t>Dispatch alerts and success confirmations look identical; admins and drivers cannot distinguish urgent events.</t>
  </si>
  <si>
    <t>Include semantic types such as success or alert so clients map to the correct brand colors.</t>
  </si>
  <si>
    <t>JTNY brand system</t>
  </si>
  <si>
    <t>UIUX-DB-012</t>
  </si>
  <si>
    <t>Notification copy mixes sentence case and uppercase IDs</t>
  </si>
  <si>
    <t>dashboard-backend/ScheduleTrip/serializers.py:1700-2080</t>
  </si>
  <si>
    <t>push_notify_user payloads concatenate uppercase ride IDs with sentence case copy, so toast components wrap mid word and break the typographic rhythm.</t>
  </si>
  <si>
    <t>Critical ride alerts look spammy and are often ignored by ops teams.</t>
  </si>
  <si>
    <t>Normalize capitalization server side and pass structured fields so the client can apply consistent typography.</t>
  </si>
  <si>
    <t>Material design text hierarchy</t>
  </si>
  <si>
    <t>UIUX-DB-013</t>
  </si>
  <si>
    <t>Driver pagination lacks next or prev metadata</t>
  </si>
  <si>
    <t>The response only contains the current slice of drivers with no cursors or total pages, so the dashboard cannot disable the Next button or show how many pages remain.</t>
  </si>
  <si>
    <t>Users click Next repeatedly and loop back to page 1, believing navigation is broken.</t>
  </si>
  <si>
    <t>Return page, page_size, total, and next or prev URLs so navigation controls behave predictably.</t>
  </si>
  <si>
    <t>Rest pagination UX</t>
  </si>
  <si>
    <t>UIUX-DB-014</t>
  </si>
  <si>
    <t>Passenger search returns HTTP 200 with string Not Found</t>
  </si>
  <si>
    <t>dashboard-backend/Passenger/views.py:90-150</t>
  </si>
  <si>
    <t>When filters match no passengers the view still returns status 200 and the string "Not Found" instead of an empty list, leaving the UI in an undefined state.</t>
  </si>
  <si>
    <t>The grid still shows old results and admins think navigation froze.</t>
  </si>
  <si>
    <t>Return empty arrays with metadata so the client can clear the table and show the proper empty state.</t>
  </si>
  <si>
    <t>Empty state UX</t>
  </si>
  <si>
    <t>UIUX-DB-015</t>
  </si>
  <si>
    <t>Error and cancel callbacks log to console instead of surfacing UI feedback</t>
  </si>
  <si>
    <t>dashboard-backend/Transaction/templates/checkout_page.html:6-22</t>
  </si>
  <si>
    <t>When Mastercard triggers errorCallback or cancelCallback the code only logs JSON, so no aria-live region announces the failure.</t>
  </si>
  <si>
    <t>Vision impaired admins receive no feedback and may submit duplicate payments.</t>
  </si>
  <si>
    <t>Raise inline alert banners and announce them via aria-live after callbacks fire.</t>
  </si>
  <si>
    <t>WCAG 2.1 - 3.3.1</t>
  </si>
  <si>
    <t>UIUX-DB-016</t>
  </si>
  <si>
    <t>SMS encoder drops fallback language metadata</t>
  </si>
  <si>
    <t>dashboard-backend/Account/utils.py:100-180</t>
  </si>
  <si>
    <t>send_message only toggles DataCoding for Arabic versus English but never passes the locale back to clients, so multilingual dashboards cannot label the message language for screen readers.</t>
  </si>
  <si>
    <t>Screen readers mispronounce Arabic OTPs because the locale is assumed to be English.</t>
  </si>
  <si>
    <t>Include the language code in the payload so assistive technologies choose the right pronunciation rules.</t>
  </si>
  <si>
    <t>WCAG 3.1.2</t>
  </si>
  <si>
    <t>UIUX-DB-017</t>
  </si>
  <si>
    <t>Dashboard login gives identical errors for deleted and suspended users</t>
  </si>
  <si>
    <t>dashboard-backend/Account/views.py:140-220</t>
  </si>
  <si>
    <t>DashboardLoginView always returns the same message even when the user is merely suspended or blocked.</t>
  </si>
  <si>
    <t>Admins do not know whether to contact IT or HR and often create duplicate accounts.</t>
  </si>
  <si>
    <t>Return specific reason codes (deleted, suspended, blocked) so the UI can branch to the proper help text.</t>
  </si>
  <si>
    <t>Match between system and real world</t>
  </si>
  <si>
    <t>UIUX-DB-018</t>
  </si>
  <si>
    <t>AuthTokenView logs users out mid session with generic 401</t>
  </si>
  <si>
    <t>dashboard-backend/Account/views.py:200-320</t>
  </si>
  <si>
    <t>Expired tokens trigger a 401 with only "Invalid token" and no refresh guidance.</t>
  </si>
  <si>
    <t>Managers suddenly lose access and have to guess whether to refresh or re login.</t>
  </si>
  <si>
    <t>Return a refresh hint and grace period metadata so the UI can silently renew the session.</t>
  </si>
  <si>
    <t>OWASP MASVS UX - session management</t>
  </si>
  <si>
    <t>UIUX-DB-019</t>
  </si>
  <si>
    <t>Passenger pagination returns raw ValueError traces</t>
  </si>
  <si>
    <t>dashboard-backend/Passenger/views.py:150-220</t>
  </si>
  <si>
    <t>When date filters are invalid the backend raises ValueError and returns the Python traceback, leaving the UI stuck on a modal.</t>
  </si>
  <si>
    <t>Support agents see a JSON stack trace and cannot recover without reloading the page.</t>
  </si>
  <si>
    <t>Catch parsing errors and return structured validation messages so the UI can show inline error states.</t>
  </si>
  <si>
    <t>Form validation UX</t>
  </si>
  <si>
    <t>UIUX-DB-020</t>
  </si>
  <si>
    <t>GarageTrips requires magic filter_type numbers with no descriptors</t>
  </si>
  <si>
    <t>dashboard-backend/Trip/views.py:140-190</t>
  </si>
  <si>
    <t>The endpoint expects filter_type values such as 1,2,3 but never exposes labels, so the UI hard codes drop down strings that drift from backend behavior.</t>
  </si>
  <si>
    <t>Dispatchers choose the wrong preset and believe the system ignored their filter.</t>
  </si>
  <si>
    <t>Return filter metadata (id, label, date range) so the UI can display human readable choices.</t>
  </si>
  <si>
    <t>Information architecture - filters</t>
  </si>
  <si>
    <t>UIUX-DB-021</t>
  </si>
  <si>
    <t>TripInfoView returns ungrouped fare details</t>
  </si>
  <si>
    <t>dashboard-backend/Trip/views.py:58-130</t>
  </si>
  <si>
    <t>TripInfoView echoes serializer data, mixing geo coordinates, pricing, and validation errors in a single flat object. The web dashboard guesses how to group cards, resulting in mismatched sections.</t>
  </si>
  <si>
    <t>Dispatchers read long key/value dumps instead of structured cards, slowing triage.</t>
  </si>
  <si>
    <t>Return structured sections (locations, pricing, restrictions) so the UI can render consistent cards.</t>
  </si>
  <si>
    <t>JTNY design system</t>
  </si>
  <si>
    <t>UIUX-DB-022</t>
  </si>
  <si>
    <t>Driver wallet export reorders columns server side</t>
  </si>
  <si>
    <t>dashboard-backend/Driver/views.py:250-340</t>
  </si>
  <si>
    <t>DriverWalletExportView enforces a hard coded column_order that no longer matches the analytics table, so CSV previews show columns swapped relative to the UI.</t>
  </si>
  <si>
    <t>Finance teams copy and paste data into the dashboard and end up with misaligned headers, creating visual clutter.</t>
  </si>
  <si>
    <t>Expose the export schema through the API or align the order with the dashboard table definition.</t>
  </si>
  <si>
    <t>Enterprise UX data consistency</t>
  </si>
  <si>
    <t>UIUX-DB-023</t>
  </si>
  <si>
    <t>Schedule trip reminders mix Arabic and English without locale tokens</t>
  </si>
  <si>
    <t>dashboard-backend/ScheduleTrip/utils.py:80-120</t>
  </si>
  <si>
    <t>push_notify_user calls pass hard coded Arabic strings alongside English copies instead of using locale codes, so the dashboard cannot tint Arabic only alerts with the regional palette.</t>
  </si>
  <si>
    <t>Operations teams see bilingual clutter that clashes with the localized theme.</t>
  </si>
  <si>
    <t>Add locale metadata and rely on translation files so each theme slot chooses the right palette.</t>
  </si>
  <si>
    <t>Localization style guide</t>
  </si>
  <si>
    <t>UIUX-DB-024</t>
  </si>
  <si>
    <t>SMS templates omit JTNY branding</t>
  </si>
  <si>
    <t>dashboard-backend/Account/utils.py:63-150</t>
  </si>
  <si>
    <t>send_message builds plain text SMS bodies without the JTNY name or signature, forcing customer apps to display neutral grey toasts to stay compliant.</t>
  </si>
  <si>
    <t>Admins cannot visually confirm which SMS provider sent the code, lowering trust in the workflow.</t>
  </si>
  <si>
    <t>Prefix OTP SMS with the JTNY name and align copy with the in app color coded alerts.</t>
  </si>
  <si>
    <t>OTP messaging guidelines</t>
  </si>
  <si>
    <t>UIUX-DB-025</t>
  </si>
  <si>
    <t>Excel exports use default serif fonts</t>
  </si>
  <si>
    <t>openpyxl writes the workbook with default fonts that do not match the dashboard typography. When admins preview the sheet inside the webview, headings spill over because the metrics differ.</t>
  </si>
  <si>
    <t>Screenshots shared internally show mismatched fonts, hurting perceived quality.</t>
  </si>
  <si>
    <t>Apply the brand type ramp when generating workbooks or send metadata so the preview can swap fonts.</t>
  </si>
  <si>
    <t>JTNY typography spec</t>
  </si>
  <si>
    <t>UIUX-DB-026</t>
  </si>
  <si>
    <t>Auth error responses reuse backend exception text</t>
  </si>
  <si>
    <t>dashboard-backend/Account/views.py:120-210</t>
  </si>
  <si>
    <t>AuthTokenView and DashboardLoginView return serializer error text verbatim, often all caps or snake case field names, which renders poorly in the toast component.</t>
  </si>
  <si>
    <t>Admins see shouting uppercase errors that fail contrast checks and clutter the layout.</t>
  </si>
  <si>
    <t>Map backend error codes to human readable sentences and keep sentence case style.</t>
  </si>
  <si>
    <t>Error message style guide</t>
  </si>
  <si>
    <t>BUGS-SA-001</t>
  </si>
  <si>
    <t>Missing Dependencies in Package.json</t>
  </si>
  <si>
    <t>*sharapp\package.json</t>
  </si>
  <si>
    <t>Application cannot run without npm install. All dependencies are marked as UNMET.</t>
  </si>
  <si>
    <t>Production blocker for SharApp because Application cannot run without npm install. All dependencies are marked as UNMET. As a result, deployments fail and engineers lose hours on remediation.</t>
  </si>
  <si>
    <t>*Run npm install to install all dependencies. This is a deployment/setup issue that will prevent the application from working.</t>
  </si>
  <si>
    <t>The Twelve-Factor App - Dependencies; npm Package Management Best Practices</t>
  </si>
  <si>
    <t>BUGS-SA-002</t>
  </si>
  <si>
    <t>Unsafe Type Assertion with Non-null Assertion Operator</t>
  </si>
  <si>
    <t>*sharapp\src\main.tsx (Line 6)</t>
  </si>
  <si>
    <t>Application will crash if the root element doesn't exist. No fallback or error handling.</t>
  </si>
  <si>
    <t>Production blocker for SharApp because Application will crash if the root element doesn't exist. No fallback or error handling. As a result, users lose confidence.</t>
  </si>
  <si>
    <t>*Add null check and error handling before rendering.</t>
  </si>
  <si>
    <t>TypeScript Handbook - Strict Null Checks; React DOM Rendering Guidelines</t>
  </si>
  <si>
    <t>BUGS-SA-003</t>
  </si>
  <si>
    <t>Unhandled Promise Rejection in Geocoder</t>
  </si>
  <si>
    <t>*sharapp\src\useGeocoder.ts (Lines 18-20)</t>
  </si>
  <si>
    <t>If geocoding fails, the error is silently ignored. Users won't see current location information.</t>
  </si>
  <si>
    <t>Production blocker for SharApp because If geocoding fails, the error is silently ignored. Users won't see current location information. As a result, users lose confidence.</t>
  </si>
  <si>
    <t>*Add .catch() handler to manage geocoding failures gracefully.</t>
  </si>
  <si>
    <t>OWASP ASVS v4.0 V8 Error Handling and Logging; TC39 Promise Rejection Handling</t>
  </si>
  <si>
    <t>BUGS-SA-004</t>
  </si>
  <si>
    <t>Visual - Icons &amp; Imagery</t>
  </si>
  <si>
    <t>Missing Image Path Leading Slash</t>
  </si>
  <si>
    <t>*sharapp\src\TripInformation.tsx (Line 103)</t>
  </si>
  <si>
    <t>Image will fail to load for standard JTNY class cars.</t>
  </si>
  <si>
    <t>Production blocker for SharApp because Image will fail to load for standard JTNY class cars. As a result, visual cues become misleading.</t>
  </si>
  <si>
    <t>*Add leading slash to make path absolute.</t>
  </si>
  <si>
    <t>W3C HTML Living Standard - Resource Loading; React Static Asset Guidelines</t>
  </si>
  <si>
    <t>BUGS-SA-005</t>
  </si>
  <si>
    <t>Bug - Code Quality</t>
  </si>
  <si>
    <t>Weak Comparison Operators</t>
  </si>
  <si>
    <t>*sharapp\src\utils.ts (Lines 77-78)</t>
  </si>
  <si>
    <t>Type coercion could lead to unexpected behavior. Not following TypeScript/JavaScript best practices.</t>
  </si>
  <si>
    <t>Production blocker for SharApp because Type coercion could lead to unexpected behavior. Not following TypeScript/JavaScript best practices. As a result, users lose confidence.</t>
  </si>
  <si>
    <t>*Use strict equality (===) instead of loose equality (==).</t>
  </si>
  <si>
    <t>ESLint eqeqeq rule</t>
  </si>
  <si>
    <t>BUGS-SA-006</t>
  </si>
  <si>
    <t>No Error Boundary Implementation</t>
  </si>
  <si>
    <t>*All component files</t>
  </si>
  <si>
    <t>If any component crashes, the entire app will white screen with no user-friendly error message.</t>
  </si>
  <si>
    <t>Major disruption for SharApp because If any component crashes, the entire app will white screen with no user-friendly error message. As a result, users lose confidence.</t>
  </si>
  <si>
    <t>*Implement Error Boundary component to catch and handle React errors gracefully.</t>
  </si>
  <si>
    <t>React Best Practices</t>
  </si>
  <si>
    <t>BUGS-SA-007</t>
  </si>
  <si>
    <t>Incomplete Error Handling in API Calls</t>
  </si>
  <si>
    <t>*sharapp\src\tripApi.ts (Lines 16-27, 38-56)</t>
  </si>
  <si>
    <t>Network errors, 404s, 500s, and other HTTP errors are not explicitly handled. Users see generic error page without specific information.</t>
  </si>
  <si>
    <t>Major disruption for SharApp because Network errors, 404s, 500s, and other HTTP errors are not explicitly handled. Users see generic error page without specific information. As a result, client requests fail unpredictably.</t>
  </si>
  <si>
    <t>*Add response status checks and throw descriptive errors. Handle different error scenarios (network failure, unauthorized, server error, etc.).</t>
  </si>
  <si>
    <t>OWASP ASVS v4.0 V5 API Error Handling; REST API Design Guidelines</t>
  </si>
  <si>
    <t>BUGS-SA-008</t>
  </si>
  <si>
    <t>Hardcoded Currency Symbol</t>
  </si>
  <si>
    <t>*sharapp\src\TripInformation.tsx (Line 154)</t>
  </si>
  <si>
    <t>Currency is hardcoded as "L.E" (Egyptian Pound) but data structure includes currency_symbol_en. Inconsistent display.</t>
  </si>
  <si>
    <t>Major disruption for SharApp because Currency is hardcoded as "L.E" (Egyptian Pound) but data structure includes currency_symbol_en. Inconsistent display. As a result, users lose confidence.</t>
  </si>
  <si>
    <t>*Use tripInformation.country.currency_symbol_en for consistency.</t>
  </si>
  <si>
    <t>ISO 4217 Currency Codes; W3C Internationalization Best Practices</t>
  </si>
  <si>
    <t>BUGS-SA-009</t>
  </si>
  <si>
    <t>Map Crashes When Destination Coordinates Are Missing</t>
  </si>
  <si>
    <t>*sharapp/src/TripSharingMap.tsx:30-33</t>
  </si>
  <si>
    <t>When the API returns an empty destinations_locations array (common before a passenger sets the drop-off), tripInformation.destinations_locations[0] is undefined and the component throws while reading .lat/.long, blanking the entire map panel.</t>
  </si>
  <si>
    <t>Major disruption for SharApp because When the API returns an empty destinations_locations array (common before a passenger sets the drop-off), tripInformation.destinations_locations[0] is undefined and the component throws while reading .lat/.long, blanking the entire map panel. As a result, client requests fail unpredictably.</t>
  </si>
  <si>
    <t>*Guard for empty arrays, show a placeholder like “Destination pending,” and skip fitBounds until the first set of coordinates arrives.</t>
  </si>
  <si>
    <t>Google Maps Platform Data Validation Guidelines; Defensive Programming Practices</t>
  </si>
  <si>
    <t>BUGS-SA-010</t>
  </si>
  <si>
    <t>Weak Key Generation in Lists</t>
  </si>
  <si>
    <t>*sharapp\src\TripSharingMap.tsx (Line 58)</t>
  </si>
  <si>
    <t>Keys based on coordinates or names may not be unique if duplicates exist. React reconciliation may fail. Using destination name as key is not guaranteed to be unique.</t>
  </si>
  <si>
    <t>Noticeable degradation for SharApp because Keys based on coordinates or names may not be unique if duplicates exist. React reconciliation may fail. Using destination name as key is not guaranteed to be unique. As a result, sensitive data and trust are at immediate risk.</t>
  </si>
  <si>
    <t>*Use unique IDs from API or index with prefix (e.g., key={dest-${index}}).</t>
  </si>
  <si>
    <t>React Documentation - Lists and Keys; Airbnb React/JSX Style Guide</t>
  </si>
  <si>
    <t>BUGS-SA-011</t>
  </si>
  <si>
    <t>Missing TypeScript Strict Mode Enforcement</t>
  </si>
  <si>
    <t>*sharapp\tsconfig.json</t>
  </si>
  <si>
    <t>While "strict" is true, some type safety issues exist (non-null assertions, any types implied).</t>
  </si>
  <si>
    <t>Noticeable degradation for SharApp because While "strict" is true, some type safety issues exist (non-null assertions, any types implied). As a result, deployments fail and engineers lose hours on remediation.</t>
  </si>
  <si>
    <t>*Enable additional strict checks and fix resulting type errors.</t>
  </si>
  <si>
    <t>TypeScript Compiler strict Mode; Microsoft Secure Coding Guidelines</t>
  </si>
  <si>
    <t>BUGS-SA-012</t>
  </si>
  <si>
    <t>React Query Cache Not Parameterized by Trip Inputs</t>
  </si>
  <si>
    <t>*sharapp/src/useTripURLInformation.ts:11-22</t>
  </si>
  <si>
    <t>The query key is always ["tripInformation"], so opening another share link in the same tab (different server/tripId/tripType/token) keeps showing stale data from the previous cache entry and never re-fetches until a hard reload. Tokens also can’t be rotated without a manual invalidation.</t>
  </si>
  <si>
    <t>Noticeable degradation for SharApp because The query key is always ["tripInformation"], so opening another share link in the same tab (different server/tripId/tripType/token) keeps showing stale data from the previous cache entry and never re-fetches until a hard reload. Tokens also can’t be rotated without a manual invalidation. As a result, sensitive data and trust are at immediate risk.</t>
  </si>
  <si>
    <t>*Include server, tripType, tripId, and token in the query key (e.g., ["tripInformation", server, tripType, tripId, token]) and add an enabled guard so React Query automatically rehydrates whenever the URL changes.</t>
  </si>
  <si>
    <t>TanStack Query Cache Key Guidelines; REST API Caching Best Practices</t>
  </si>
  <si>
    <t>BUGS-SA-013</t>
  </si>
  <si>
    <t>Duplicate Firestore Listeners from Header + Page</t>
  </si>
  <si>
    <t>*sharapp/src/Header.tsx:5-16, sharapp/src/TripSharingPage.tsx:9-35</t>
  </si>
  <si>
    <t>Header invokes useTripInformation solely to decide whether to show the download button, while TripSharingPage also subscribes to the same hook. That doubles the number of Firestore onSnapshot listeners and REST calls per view, inflating read costs and occasionally producing inconsistent UI when the two hook instances resolve at different speeds.</t>
  </si>
  <si>
    <t>Noticeable degradation for SharApp because Header invokes useTripInformation solely to decide whether to show the download button, while TripSharingPage also subscribes to the same hook. That doubles the number of Firestore onSnapshot listeners and REST calls per view, inflating read costs and occasionally producing inconsistent UI when the two hook instances resolve at different speeds. As a result, latency spikes and resource exhaustion follow.</t>
  </si>
  <si>
    <t>*Fetch trip information once (e.g., lift the hook to context or pass tripInformation/server down as props) so subordinate components reuse the existing data instead of creating parallel subscriptions.</t>
  </si>
  <si>
    <t>Firebase Firestore Listener Management Guidelines; Google Cloud Architecture Best Practices</t>
  </si>
  <si>
    <t>BUGS-SA-014</t>
  </si>
  <si>
    <t>Duration &amp; Distance Rows Assume Index 0 Always Exists</t>
  </si>
  <si>
    <t>*sharapp/src/TripInformation.tsx:133-141</t>
  </si>
  <si>
    <t>Accessing tripInformation.durations[0].text and distances[0].text without guards throws whenever Google Directions hasn’t returned a route yet, replacing the entire TripInformation panel with a runtime error for in-progress trips.</t>
  </si>
  <si>
    <t>Noticeable degradation for SharApp because Accessing tripInformation.durations[0].text and distances[0].text without guards throws whenever Google Directions hasn’t returned a route yet, replacing the entire TripInformation panel with a runtime error for in-progress trips. As a result, users lose confidence.</t>
  </si>
  <si>
    <t>* Add optional chaining/fallback copy (“Calculating…”) and render the time/distance rows only when index 0 exists; otherwise show the Skeleton component or a status badge until routing data arrives.</t>
  </si>
  <si>
    <t>Defensive Programming for Collections; TypeScript Strict Null Checks</t>
  </si>
  <si>
    <t>BUGS-SA-015</t>
  </si>
  <si>
    <t>Commented Code in Production</t>
  </si>
  <si>
    <t>*sharapp\src\DownloadLinks.tsx (Line 4)</t>
  </si>
  <si>
    <t>Commented code should be removed from production. Unclear if feature is planned or abandoned.</t>
  </si>
  <si>
    <t>Minor inconsistency for SharApp because Commented code should be removed from production. Unclear if feature is planned or abandoned. As a result, users lose confidence.</t>
  </si>
  <si>
    <t>*Remove commented code or implement if needed.</t>
  </si>
  <si>
    <t>Clean Code Maintainability Principles; IEEE 828 Configuration Management</t>
  </si>
  <si>
    <t>BUGS-SA-016</t>
  </si>
  <si>
    <t>Console Error in Production Code</t>
  </si>
  <si>
    <t>*sharapp\src\Polyline.tsx (Line 82)</t>
  </si>
  <si>
    <t>Development error message in production code. Should be removed or gated.</t>
  </si>
  <si>
    <t>Minor inconsistency for SharApp because Development error message in production code. Should be removed or gated. As a result, users lose confidence.</t>
  </si>
  <si>
    <t>*Remove or wrap in if (import.meta.env.DEV) condition.</t>
  </si>
  <si>
    <t>ESLint no-console Rule; OWASP Logging Cheat Sheet</t>
  </si>
  <si>
    <t>BUGS-SA-017</t>
  </si>
  <si>
    <t>Inconsistent Function Declaration Syntax</t>
  </si>
  <si>
    <t>*Multiple files</t>
  </si>
  <si>
    <t>Mix of arrow functions and function declarations. Inconsistent style.</t>
  </si>
  <si>
    <t>Minor inconsistency for SharApp because Mix of arrow functions and function declarations. Inconsistent style. As a result, users lose confidence.</t>
  </si>
  <si>
    <t>*Choose one style and apply consistently. Function components typically use function declarations.</t>
  </si>
  <si>
    <t>Airbnb JavaScript Style Guide - Function Declarations</t>
  </si>
  <si>
    <t>BUGS-SA-018</t>
  </si>
  <si>
    <t>Missing PropTypes or Runtime Validation</t>
  </si>
  <si>
    <t>While TypeScript provides compile-time checking, no runtime validation of props.</t>
  </si>
  <si>
    <t>Minor inconsistency for SharApp because While TypeScript provides compile-time checking, no runtime validation of props. As a result, bad data flows downstream and corrupts records.</t>
  </si>
  <si>
    <t>*Consider using Zod or similar for runtime validation of API responses.</t>
  </si>
  <si>
    <t>React PropTypes and TypeScript Interface Guidelines; OWASP ASVS V1 Input Validation</t>
  </si>
  <si>
    <t>BUGS-SA-019</t>
  </si>
  <si>
    <t>Unused Import Statement</t>
  </si>
  <si>
    <t>*sharapp\src\main.tsx (Line 1)</t>
  </si>
  <si>
    <t>Standard practice but worth noting: React import may be unnecessary with new JSX transform.</t>
  </si>
  <si>
    <t>Minor inconsistency for SharApp because Standard practice but worth noting: React import may be unnecessary with new JSX transform. As a result, screens desynchronize and user actions repeat.</t>
  </si>
  <si>
    <t>*Verify if React import is needed or can be removed.</t>
  </si>
  <si>
    <t>ESLint no-unused-vars Rule; TypeScript Compiler Diagnostics</t>
  </si>
  <si>
    <t>BUGS-SA-020</t>
  </si>
  <si>
    <t>Magic Numbers in Code</t>
  </si>
  <si>
    <t>*sharapp\src\TripInformation.tsx (Lines 144-145, 109)</t>
  </si>
  <si>
    <t>Magic numbers reduce code readability. Unclear what status values mean without context.</t>
  </si>
  <si>
    <t>Minor inconsistency for SharApp because Magic numbers reduce code readability. Unclear what status values mean without context. As a result, users lose confidence.</t>
  </si>
  <si>
    <t>*Create enum or constants (e.g., TripStatus.PENDING = 0, TripStatus.ACTIVE = 1, TripStatus.CANCELLED = -1).</t>
  </si>
  <si>
    <t>Clean Code - Meaningful Constants; Material Design Spacing System</t>
  </si>
  <si>
    <t>BUGS-SA-021</t>
  </si>
  <si>
    <t>Unused CSS Class Definitions</t>
  </si>
  <si>
    <t>*sharapp\src\index.css</t>
  </si>
  <si>
    <t>Scrollbar styling only applies to webkit browsers. No Firefox or Edge support.</t>
  </si>
  <si>
    <t>Minor inconsistency for SharApp because Scrollbar styling only applies to webkit browsers. No Firefox or Edge support. As a result, users lose confidence.</t>
  </si>
  <si>
    <t>*Add cross-browser scrollbar styling or document browser support limitations.</t>
  </si>
  <si>
    <t>BEM/ITCSS CSS Architecture Guidelines; W3C CSS Best Practices</t>
  </si>
  <si>
    <t>BUGS-SA-022</t>
  </si>
  <si>
    <t>Incomplete ESLint Configuration</t>
  </si>
  <si>
    <t>*sharapp\.eslintrc.cjs</t>
  </si>
  <si>
    <t>*Basic ESLint setup. Missing accessibility plugin, no-console rule not configured.</t>
  </si>
  <si>
    <t>Minor inconsistency for SharApp because *Basic ESLint setup. Missing accessibility plugin, no-console rule not configured. As a result, deployments fail and engineers lose hours on remediation.</t>
  </si>
  <si>
    <t>*Add eslint-plugin-jsx-a11y for accessibility linting</t>
  </si>
  <si>
    <t>ESLint Configuration Best Practices; JavaScript Standard Style Guide</t>
  </si>
  <si>
    <t>BUGS-SA-023</t>
  </si>
  <si>
    <t>Unused Statement in useEffect</t>
  </si>
  <si>
    <t>*sharapp\src\TripSharingMap.tsx (Line 22)</t>
  </si>
  <si>
    <t>Dead code that serves no purpose.</t>
  </si>
  <si>
    <t>Minor inconsistency for SharApp because Dead code that serves no purpose. As a result, screens desynchronize and user actions repeat.</t>
  </si>
  <si>
    <t>*Remove the unused map; statement.</t>
  </si>
  <si>
    <t>React Hooks Rules - exhaustive-deps; React Team Best Practices</t>
  </si>
  <si>
    <t>BUGS-SA-024</t>
  </si>
  <si>
    <t>Mixed Quoting Styles</t>
  </si>
  <si>
    <t>*Multiple Files</t>
  </si>
  <si>
    <t>Mix of double quotes and single quotes in JSX.</t>
  </si>
  <si>
    <t>Minor inconsistency for SharApp because Mix of double quotes and single quotes in JSX. As a result, users lose confidence.</t>
  </si>
  <si>
    <t>*Configure Prettier or ESLint to enforce consistent quoting.</t>
  </si>
  <si>
    <t>Airbnb JavaScript Style Guide - Quotes; Prettier Formatting Guidelines</t>
  </si>
  <si>
    <t>BUGS-SA-025</t>
  </si>
  <si>
    <t>No TypeScript Interfaces for API Responses</t>
  </si>
  <si>
    <t>*sharapp\src\tripApi.ts</t>
  </si>
  <si>
    <t>API response types are inferred rather than explicitly defined. Return type is any.</t>
  </si>
  <si>
    <t>Minor inconsistency for SharApp because API response types are inferred rather than explicitly defined. Return type is any. As a result, client requests fail unpredictably.</t>
  </si>
  <si>
    <t>*Define return types matching TripInformationType and payment response interfaces.</t>
  </si>
  <si>
    <t>OpenAPI Specification; TypeScript Data Transfer Object Guidelines</t>
  </si>
  <si>
    <t>BUGS-MP-001</t>
  </si>
  <si>
    <t>Missing Error Handling in API Helper</t>
  </si>
  <si>
    <t>*mobile-passenger\lib\data\apis\api_helper.dart:33-36,60-62,88-90,115-117,164-166</t>
  </si>
  <si>
    <t>API methods only catch SocketException but not other potential exceptions (TimeoutException, FormatException, etc.). The returnResponse method has no default case handling for unexpected status codes.</t>
  </si>
  <si>
    <t>Unhandled exceptions can cause app crashes. Users may experience unexpected app termination without proper error messages.</t>
  </si>
  <si>
    <t>*Add comprehensive try-catch blocks for all exception types</t>
  </si>
  <si>
    <t>Flutter/Dart Error Handling Best Practices, Defensive Programming</t>
  </si>
  <si>
    <t>BUGS-MP-002</t>
  </si>
  <si>
    <t>Potential setState After Dispose</t>
  </si>
  <si>
    <t>Multiple files including; *mobile-passenger\lib\modules\home_page\screens\my_trips_screen.dart:94-96,129-131,165-166,199-200</t>
  </si>
  <si>
    <t>Several async methods call setState without checking if the widget is still mounted, which can cause exceptions after widget disposal.</t>
  </si>
  <si>
    <t>App crashes with "setState() called after dispose()" error, particularly common when users navigate away during async operations.</t>
  </si>
  <si>
    <t>*Add if (!mounted) return; checks before all setState calls</t>
  </si>
  <si>
    <t>Flutter Widget Lifecycle Best Practices</t>
  </si>
  <si>
    <t>BUGS-MP-003</t>
  </si>
  <si>
    <t>Duplicate Provider Registration</t>
  </si>
  <si>
    <t>*mobile-passenger\lib\main.dart:64,84</t>
  </si>
  <si>
    <t>FirebaseStorageProvider is registered twice in the MultiProvider list (lines 64 and 84), which can cause confusion and potential memory leaks.</t>
  </si>
  <si>
    <t>Unnecessary memory usage, potential state management issues, and confusion about which provider instance is being used.</t>
  </si>
  <si>
    <t>*Remove duplicate FirebaseStorageProvider registration</t>
  </si>
  <si>
    <t>Flutter Provider Best Practices</t>
  </si>
  <si>
    <t>BUGS-MP-004</t>
  </si>
  <si>
    <t>Missing Input Validation and Sanitization Insufficient Client-Side Input Validation</t>
  </si>
  <si>
    <t>*mobile-passenger\lib\shared\widgets\custom_text_field.dart:97-113</t>
  </si>
  <si>
    <t>Text field validation only uses basic input formatters. There is no sanitization for SQL injection, XSS, or malicious input. Email and phone validation rely solely on client-side checks without proper regex validation.</t>
  </si>
  <si>
    <t>Potential security vulnerabilities if malicious input is sent to the backend. Poor user experience with invalid data that passes client validation but fails server validation. Server-side errors from improperly formatted data. Potential injection attacks.</t>
  </si>
  <si>
    <t>*Add proper regex validation for email, phone, and other fields.</t>
  </si>
  <si>
    <t>OWASP Input Validation Guidelines, Flutter Form Validation Best Practices, Defense in Depth</t>
  </si>
  <si>
    <t>BUGS-MP-005</t>
  </si>
  <si>
    <t>Excessive Use of `print()` Statements Debug Print Statements in Production Code</t>
  </si>
  <si>
    <t>*mobile-passenger\lib\data\apis\api_helper.dart:20,31,46,64 *mobile-passenger\lib\shared\providers\user_provider.dart:70,261</t>
  </si>
  <si>
    <t>`print()` and `debugPrint()` statements are scattered throughout the codebase for debugging, including in production code. Some print statements log sensitive data like tokens, user information, and API responses.</t>
  </si>
  <si>
    <t>Performance overhead in production due to string concatenation and I/O operations. Potential security risk by logging sensitive information that could be exposed through device logs. Cluttered logs making actual debugging harder. Console spam in development.</t>
  </si>
  <si>
    <t>*Remove **all** `print()` statements from production code.</t>
  </si>
  <si>
    <t>Flutter Logging Best Practices, Security Logging Guidelines, OWASP Logging Cheat Sheet</t>
  </si>
  <si>
    <t>BUGS-MP-006</t>
  </si>
  <si>
    <t>Bug - General Code Quality</t>
  </si>
  <si>
    <t>Version Mismatch Between `pubspec.yaml` and `main.dart` Hardcoded Version String Doesn't Match Package Version</t>
  </si>
  <si>
    <t>*mobile-passenger\pubspec.yaml:4 (version: `2.2.3+1`)</t>
  </si>
  <si>
    <t>The version string displayed in the app (`2.4.8`) doesn't match the `pubspec.yaml` version (`2.2.3+1`), causing confusion about what version is actually deployed.</t>
  </si>
  <si>
    <t>App store submissions may be rejected or have the wrong version. Users see incorrect version numbers when reporting issues. Update tracking is inconsistent. Release management becomes confusing. It becomes difficult to correlate user reports with actual builds.</t>
  </si>
  <si>
    <t>*Update `pubspec.yaml` version to match displayed version (or vice versa).</t>
  </si>
  <si>
    <t>Flutter Version Management Best Practices, Semantic Versioning</t>
  </si>
  <si>
    <t>BUGS-MP-007</t>
  </si>
  <si>
    <t>Unsafe Context Usage in Async Callbacks `BuildContext` Used Across Async Gaps</t>
  </si>
  <si>
    <t>*mobile-passenger\lib\modules\authentication\sign_in\screens\login.dart:143-163</t>
  </si>
  <si>
    <t>`BuildContext` is used in async callbacks without checking if the widget is still mounted. Flutter 3.10+ shows lint warning: “Don't use BuildContexts across async gaps.”</t>
  </si>
  <si>
    <t>Runtime crashes when context is used after widget is disposed. The app crashes when users navigate away during authentication or other async operations. Navigation errors and unexpected behavior occur.</t>
  </si>
  <si>
    <t>Store context in a local variable before async operations: `final navigator = Navigator.of(context);`.</t>
  </si>
  <si>
    <t>Flutter Best Practices, Flutter 3.10+ Linting Rules, Async/Await Patterns</t>
  </si>
  <si>
    <t>BUGS-MP-008</t>
  </si>
  <si>
    <t>Unhandled Null Reference Exceptions Forced Unwrapping of Nullable Types</t>
  </si>
  <si>
    <t>*mobile-passenger\lib\notification_manager\notification_api.dart:102-122 (`navigatorKey.currentContext!`)</t>
  </si>
  <si>
    <t>Multiple forced unwrapping of nullable types using `!` operator without null checks. This is particularly dangerous in notification handling where context may be null when app is in background or terminated.</t>
  </si>
  <si>
    <t>App crashes with null reference exceptions, especially in notification scenarios or after app state changes. Users experience random crashes when receiving notifications, leading to poor reliability.</t>
  </si>
  <si>
    <t>*Replace `!` operator with null-aware operators (`?.` or `??`).</t>
  </si>
  <si>
    <t>Dart Null Safety Best Practices, Sound Null Safety</t>
  </si>
  <si>
    <t>BUGS-MP-009</t>
  </si>
  <si>
    <t>Missing Input Validation and Sanitization</t>
  </si>
  <si>
    <t>Text field validation only uses basic input formatters. No sanitization for SQL injection, XSS, or malicious input. Email and phone validation rely solely on client-side checks.</t>
  </si>
  <si>
    <t>Potential security vulnerabilities if malicious input is sent to backend. Poor user experience with invalid data. Server-side errors from improperly formatted data.</t>
  </si>
  <si>
    <t>*Add proper regex validation for email, phone, and other fields</t>
  </si>
  <si>
    <t>OWASP Input Validation, Flutter Form Validation Best Practices</t>
  </si>
  <si>
    <t>BUGS-MP-010</t>
  </si>
  <si>
    <t>Excessive Use of print() and debugPrint() Statements</t>
  </si>
  <si>
    <t>Throughout codebase - Found in 20+ files including mobile-passenger\lib\data\apis\api_helper.dart:20,31,46,64;; user_provider.dart:70,261</t>
  </si>
  <si>
    <t>print() and debugPrint() statements are scattered throughout the codebase for debugging, including in production code. Some print sensitive data like tokens.</t>
  </si>
  <si>
    <t>Performance overhead in production, potential security risk by logging sensitive information, cluttered logs making debugging harder.</t>
  </si>
  <si>
    <t>*Remove all print() statements</t>
  </si>
  <si>
    <t>Flutter Logging Best Practices, Security Logging Guidelines</t>
  </si>
  <si>
    <t>BUGS-MP-011</t>
  </si>
  <si>
    <t>Version Mismatch Between pubspec.yaml and main.dart</t>
  </si>
  <si>
    <t>*mobile-passenger\pubspec.yaml:4 (version: 2.2.3+1), *mobile-passenger\lib\main.dart:103 (version =; "2.4.8")</t>
  </si>
  <si>
    <t>The version string in main.dart (2.4.8) doesn't match the pubspec.yaml version (2.2.3+1), causing confusion and potential deployment issues.</t>
  </si>
  <si>
    <t>App store submissions may fail. Users see incorrect version numbers. Update tracking is inconsistent.</t>
  </si>
  <si>
    <t>*Update pubspec.yaml version to match displayed version</t>
  </si>
  <si>
    <t>Flutter Version Management Best Practices</t>
  </si>
  <si>
    <t>BUGS-MP-012</t>
  </si>
  <si>
    <t>Unsafe Context Usage in Async Callbacks</t>
  </si>
  <si>
    <t>*mobile-passenger\lib\modules\authentication\sign_in\screens\login.dart:143-163,; registration_screen.dart:607-626</t>
  </si>
  <si>
    <t>BuildContext is used in async callbacks without checking if the widget is still mounted. Using context across async gaps can cause crashes.</t>
  </si>
  <si>
    <t>Runtime crashes with "Don't use BuildContexts across async gaps" warning. App crashes when users navigate away during authentication.</t>
  </si>
  <si>
    <t>*Store context in local variable before async operations</t>
  </si>
  <si>
    <t>Flutter Best Practices, Async/Await Patterns</t>
  </si>
  <si>
    <t>BUGS-MP-013</t>
  </si>
  <si>
    <t>Unhandled Null Reference Exceptions</t>
  </si>
  <si>
    <t>*mobile-passenger\lib\notification_manager\notification_api.dart:102-122 (navigatorKey.currentContext!)</t>
  </si>
  <si>
    <t>Multiple forced unwrapping of nullable types using ! operator without null checks. Particularly dangerous in notification handling where context may be null.</t>
  </si>
  <si>
    <t>App crashes with null reference exceptions, especially in notification scenarios or after app state changes.</t>
  </si>
  <si>
    <t>*Replace ! with null-aware operators (?. or ??)</t>
  </si>
  <si>
    <t>Dart Null Safety Best Practices</t>
  </si>
  <si>
    <t>BUGS-MP-014</t>
  </si>
  <si>
    <t>Multiple TODO Comments Left in Production Code Incomplete Implementations Marked with TODO</t>
  </si>
  <si>
    <t>*mobile-passenger\lib\notification_manager\notification_api.dart:334</t>
  </si>
  <si>
    <t>At least 10+ TODO comments are found in production code indicating incomplete implementations, pending features, or deferred tasks. Some TODOs are for critical features like navigation and data handling.</t>
  </si>
  <si>
    <t>Incomplete features may cause bugs or unexpected behavior. Technical debt accumulates and code maintainability suffers. It is unclear which features are working as intended, potentially confusing new developers.</t>
  </si>
  <si>
    <t>*Review all TODO comments and complete implementations.</t>
  </si>
  <si>
    <t>Clean Code Principles, Technical Debt Management, Code Documentation</t>
  </si>
  <si>
    <t>BUGS-MP-015</t>
  </si>
  <si>
    <t>Commented Out Code Blocks Large Blocks of Commented Code in Source Files</t>
  </si>
  <si>
    <t>*mobile-passenger\lib\modules\authentication\registration\screens\registration_screen.dart:34-39,137-177,180-194,304-360,362-379,391-419,424-437`</t>
  </si>
  <si>
    <t>Large blocks of commented code exist throughout the application, including critical validation logic in registration (phone/email/username validation). Hundreds of lines of commented code are present in the registration screen alone.</t>
  </si>
  <si>
    <t>Code bloat increases file sizes and build times. It creates confusion about intended functionality and adds maintenance burden. It is unclear whether features are disabled temporarily or permanently. Git history provides better code tracking than commented code.</t>
  </si>
  <si>
    <t>*Remove all commented code blocks from production code.</t>
  </si>
  <si>
    <t>Clean Code Principles, Code Review Best Practices, Version Control Best Practices</t>
  </si>
  <si>
    <t>BUGS-MP-016</t>
  </si>
  <si>
    <t>Visual - Spacing &amp; Alignment</t>
  </si>
  <si>
    <t>Magic Numbers Throughout Codebase Hardcoded Numeric Values Without Named Constants</t>
  </si>
  <si>
    <t>* Throughout application – padding, margins, durations, indices</t>
  </si>
  <si>
    <t>Hardcoded numeric values are used for sizes (e.g., `height: 60`), durations (e.g., `800ms`), indices, and other values without named constants or semantic meaning. This makes intent unclear and maintenance difficult.</t>
  </si>
  <si>
    <t>Difficult to maintain consistent spacing and timing across the app. Hard to understand intent of numbers without context. Inconsistent UI arises when similar values should match. Updating design system values globally becomes difficult.</t>
  </si>
  <si>
    <t>*Extract magic numbers to named constants.</t>
  </si>
  <si>
    <t>Clean Code, Maintainability Principles, Design System Implementation</t>
  </si>
  <si>
    <t>BUGS-MP-017</t>
  </si>
  <si>
    <t>Inconsistent Naming Conventions Mixed Naming Styles for Variables and Constants</t>
  </si>
  <si>
    <t>*mobile-passenger\lib\shared\constants\cached_keys.dart` (mix ofcamelCase` andUPPER_CASE`)</t>
  </si>
  <si>
    <t>Mixed naming conventions – some constants use `UPPER_SNAKE_CASE`, others use `lowerCamelCase`. The Dart style guide is not followed consistently. Variable names are inconsistent across similar files.</t>
  </si>
  <si>
    <t>Code is harder to read and maintain. It violates Dart style guide recommendations and causes linting warnings. Team members can be confused about proper conventions. Code looks unprofessional and makes searching for constants harder.</t>
  </si>
  <si>
    <t>*Follow Dart style guide consistently.</t>
  </si>
  <si>
    <t>Dart Style Guide, Effective Dart: Style</t>
  </si>
  <si>
    <t>BUGS-MP-018</t>
  </si>
  <si>
    <t>Large Widget Build Methods Build Methods Exceeding 500 Lines</t>
  </si>
  <si>
    <t>*`mobile-passenger\lib\modules\authentication\registration\screens\registration_screen.dart` (build method 600+ lines)</t>
  </si>
  <si>
    <t>Build methods are excessively long (500–600+ lines), making code extremely hard to read, maintain, and test. The single responsibility principle is violated.</t>
  </si>
  <si>
    <t>Extremely difficult to maintain and debug. Hard to test individual components. Poor code organization and potential performance issues with unnecessary rebuilds. Code reviews are difficult and cognitive load is high for developers.</t>
  </si>
  <si>
    <t>*Extract logical sections into separate widget methods or classes.</t>
  </si>
  <si>
    <t>Clean Code Principles, Single Responsibility Principle, Flutter Best Practices</t>
  </si>
  <si>
    <t>BUGS-MP-019</t>
  </si>
  <si>
    <t>DateTime Not Using Server Time Synchronization Using Device Time for Business Logic</t>
  </si>
  <si>
    <t>*mobile-passenger\lib\modules\trip_settings\screens\main_screen.dart:45 (`DateTime.now()`)</t>
  </si>
  <si>
    <t>`DateTime.now()` is used for business logic without synchronizing with server time. `CachedKeys.deviceServerTimeDifference` exists but is not consistently applied throughout the app.</t>
  </si>
  <si>
    <t>Serious issues with scheduled trips if device time is incorrect. Booking conflicts when device clock is wrong. Incorrect time-based validations. Users can manipulate device time to bypass restrictions.</t>
  </si>
  <si>
    <t>*Always use server time for business logic decisions.</t>
  </si>
  <si>
    <t>Distributed Systems Best Practices, Time Synchronization Patterns</t>
  </si>
  <si>
    <t>BUGS-MP-020</t>
  </si>
  <si>
    <t>Multiple TODO Comments Left in Production Code</t>
  </si>
  <si>
    <t> *mobile-passenger/lib/modules/trip_settings/providers/map_provider.dart:50-110</t>
  </si>
  <si>
    <t>At least 10+ TODO comments found in production code indicating incomplete implementations or pending tasks.</t>
  </si>
  <si>
    <t>Incomplete features may cause bugs. Technical debt accumulation. Code maintainability issues.</t>
  </si>
  <si>
    <t>*Review all TODO comments and complete implementations</t>
  </si>
  <si>
    <t>Clean Code Principles, Technical Debt Management</t>
  </si>
  <si>
    <t>BUGS-MP-021</t>
  </si>
  <si>
    <t>Commented Out Code Blocks</t>
  </si>
  <si>
    <t>Large blocks of commented code throughout the application, including phone/email/username validation logic in registration.</t>
  </si>
  <si>
    <t>Code bloat, confusion about intended functionality, maintenance burden, unclear whether features are disabled temporarily or permanently.</t>
  </si>
  <si>
    <t>*Remove all commented code blocks</t>
  </si>
  <si>
    <t>Clean Code Principles, Code Review Best Practices</t>
  </si>
  <si>
    <t>BUGS-MP-022</t>
  </si>
  <si>
    <t>Magic Numbers Throughout Codebase</t>
  </si>
  <si>
    <t>*mobile-passenger\lib\modules\trip_settings\screens\main_screen.dart:79,142,157,159 and many others</t>
  </si>
  <si>
    <t>Hardcoded numeric values for sizes, durations, indices without named constants (e.g., height: 60, duration: 800ms).</t>
  </si>
  <si>
    <t>Difficult to maintain consistent spacing and timing. Hard to understand intent of numbers. Inconsistent UI.</t>
  </si>
  <si>
    <t>*Extract magic numbers to named constants</t>
  </si>
  <si>
    <t>Clean Code, Maintainability Principles</t>
  </si>
  <si>
    <t>BUGS-MP-023</t>
  </si>
  <si>
    <t>Empty Catch Blocks Swallowing Exceptions</t>
  </si>
  <si>
    <t>*mobile-passenger\lib\notification_manager\notification_api.dart:143-145 (empty catch for getToken)</t>
  </si>
  <si>
    <t>Empty catch blocks that catch exceptions but don't log or handle them, silently swallowing errors.</t>
  </si>
  <si>
    <t>Silent failures make debugging impossible. Issues go unnoticed in production. Cannot track or fix problems.</t>
  </si>
  <si>
    <t>*Never use empty catch blocks</t>
  </si>
  <si>
    <t>Error Handling Best Practices, Defensive Programming</t>
  </si>
  <si>
    <t>BUGS-MP-024</t>
  </si>
  <si>
    <t>Lack of Const Constructors</t>
  </si>
  <si>
    <t>*Throughout application - many widgets that could be const are not</t>
  </si>
  <si>
    <t>Many stateless widgets and immutable widgets are not marked as const, missing optimization opportunities.</t>
  </si>
  <si>
    <t>Unnecessary widget rebuilds, higher memory usage, slower rendering, missed optimization opportunities.</t>
  </si>
  <si>
    <t>*Add const keyword to all immutable widgets</t>
  </si>
  <si>
    <t>Flutter Performance Best Practices</t>
  </si>
  <si>
    <t>BUGS-MP-025</t>
  </si>
  <si>
    <t>Large Widget Build Methods</t>
  </si>
  <si>
    <t>*mobile-passenger\lib\modules\authentication\registration\screens\registration_screen.dart (build method 600+; lines)</t>
  </si>
  <si>
    <t>Build methods are excessively long (500+ lines), making code hard to read and maintain.</t>
  </si>
  <si>
    <t>Difficult to maintain, hard to test, poor code organization, performance issues with rebuilds.</t>
  </si>
  <si>
    <t>*Extract widgets into separate classes or methods</t>
  </si>
  <si>
    <t>Clean Code Principles, Flutter Best Practices</t>
  </si>
  <si>
    <t>BUGS-MP-026</t>
  </si>
  <si>
    <t>DateTime Not Using Server Time Synchronization</t>
  </si>
  <si>
    <t>*mobile-passenger\lib\modules\trip_settings\screens\main_screen.dart:45 (DateTime.now())</t>
  </si>
  <si>
    <t>Using device time (DateTime.now()) for business logic without synchronizing with server time. CachedKeys.deviceServerTimeDifference exists but not consistently used.</t>
  </si>
  <si>
    <t>Issues with scheduled trips if device time is wrong. Booking conflicts. Incorrect time-based validations.</t>
  </si>
  <si>
    <t>*Always use server time for business logic</t>
  </si>
  <si>
    <t>Distributed Systems Best Practices</t>
  </si>
  <si>
    <t>BUGS-MP-027</t>
  </si>
  <si>
    <t>Unused Import Statements Imported Packages Not Used in File</t>
  </si>
  <si>
    <t>*mobile-passenger\lib\modules\authentication\sign_in\screens\login.dart:6</t>
  </si>
  <si>
    <t>Several unused imports throughout the codebase add unnecessary dependencies to files.</t>
  </si>
  <si>
    <t>Slightly larger bundle size and code clutter. Confusion about actual dependencies. The code becomes slightly harder to understand.</t>
  </si>
  <si>
    <t>*Remove all unused imports.</t>
  </si>
  <si>
    <t>Clean Code, Dart Best Practices</t>
  </si>
  <si>
    <t>BUGS-MP-028</t>
  </si>
  <si>
    <t>Missing Documentation Comments No Dartdoc Comments on Public APIs</t>
  </si>
  <si>
    <t>*Throughout codebase – public classes, methods, and widgets lack documentation</t>
  </si>
  <si>
    <t>Public classes, methods, and widgets lack documentation comments (`///` comments) explaining their purpose, parameters, and usage. No generated documentation is possible.</t>
  </si>
  <si>
    <t>Difficult for new developers to understand code purpose and usage. No IDE hints or autocomplete documentation. Cannot generate API documentation with `dartdoc`. Maintenance challenges and knowledge loss when developers leave.</t>
  </si>
  <si>
    <t>*Add `///` documentation comments to all public classes and methods.</t>
  </si>
  <si>
    <t>Effective Dart: Documentation, Dartdoc Guidelines</t>
  </si>
  <si>
    <t>BUGS-MP-029</t>
  </si>
  <si>
    <t>Inconsistent File Naming Directory Name Typo and Inconsistent File Naming</t>
  </si>
  <si>
    <t>*mobile-passenger\lib\modules\profile\provders\ (typo: `provders` instead of `providers`)</t>
  </si>
  <si>
    <t>Directory name has typo `provders` instead of `providers`. Some files inconsistently use `snake_case` vs `camelCase`. File names don't always match class names.</t>
  </si>
  <si>
    <t>Confusion when navigating codebase. Difficult to locate files. Looks unprofessional. IDE autocomplete may not work correctly. Import statements look wrong.</t>
  </si>
  <si>
    <t>*Rename directory from `provders` to `providers`.</t>
  </si>
  <si>
    <t>Dart File Naming Conventions, Effective Dart: Style</t>
  </si>
  <si>
    <t>BUGS-MP-030</t>
  </si>
  <si>
    <t>Unused Variables and Parameters Variables Declared But Never Used</t>
  </si>
  <si>
    <t>*mobile-passenger\lib\data\apis\api_helper.dart:103,130` (`if (headers != null) {}` does nothing)</t>
  </si>
  <si>
    <t>Several unused variables and parameters throughout the code. Conditional checks that do nothing. Dead code that serves no purpose.</t>
  </si>
  <si>
    <t>Code clutter and confusion. Wasted memory allocating unused variables. Makes code harder to understand and suggests incomplete implementations.</t>
  </si>
  <si>
    <t>*Remove all unused variables and parameters.</t>
  </si>
  <si>
    <t>Clean Code Principles, Dart Linting Best Practices</t>
  </si>
  <si>
    <t>BUGS-MP-031</t>
  </si>
  <si>
    <t>Inconsistent Async/Await Pattern Mixing `.then()` and `async/await` Styles</t>
  </si>
  <si>
    <t>*Throughout codebase – inconsistent async patterns</t>
  </si>
  <si>
    <t>Some functions use `async/await`, others use `.then()` callbacks inconsistently. There is no standardized approach to async programming in the codebase.</t>
  </si>
  <si>
    <t>Harder to read and maintain due to inconsistent style. Increased cognitive load when switching between patterns. More error-prone when mixing patterns. Code reviews become more difficult.</t>
  </si>
  <si>
    <t>*Standardize on `async/await` pattern throughout codebase.</t>
  </si>
  <si>
    <t>Dart Async Programming Best Practices, Effective Dart: Usage</t>
  </si>
  <si>
    <t>BUGS-MP-032</t>
  </si>
  <si>
    <t>Unused Import Statements</t>
  </si>
  <si>
    <t>*mobile-passenger\lib\modules\authentication\sign_in\screens\login.dart:6 (import; 'package:intl_phone_field/country_picker_dialog.dart')</t>
  </si>
  <si>
    <t>Several unused imports throughout the codebase adding unnecessary dependencies.</t>
  </si>
  <si>
    <t>Slightly larger bundle size, code clutter, confusion about dependencies.</t>
  </si>
  <si>
    <t>*Remove unused imports</t>
  </si>
  <si>
    <t>BUGS-MP-033</t>
  </si>
  <si>
    <t>Missing Documentation Comments</t>
  </si>
  <si>
    <t>*Throughout codebase - no dartdoc comments on public APIs</t>
  </si>
  <si>
    <t>Public classes, methods, and widgets lack documentation comments explaining their purpose and usage.</t>
  </si>
  <si>
    <t>Difficult for new developers to understand code. No generated documentation. Maintenance challenges.</t>
  </si>
  <si>
    <t>*Add /// documentation comments to public APIs</t>
  </si>
  <si>
    <t>Effective Dart Documentation</t>
  </si>
  <si>
    <t>BUGS-MP-034</t>
  </si>
  <si>
    <t>Inconsistent File Naming</t>
  </si>
  <si>
    <t>*mobile-passenger\lib\modules\profile\provders\ (typo: "provders" instead of "providers")</t>
  </si>
  <si>
    <t>Directory name has typo "provders" instead of "providers". Some files use snake_case, others use camelCase inconsistently.</t>
  </si>
  <si>
    <t>Confusion, difficult to locate files, looks unprofessional.</t>
  </si>
  <si>
    <t>*Rename directory to "providers"</t>
  </si>
  <si>
    <t>Dart File Naming Conventions</t>
  </si>
  <si>
    <t>BUGS-MP-035</t>
  </si>
  <si>
    <t>Unused Variables and Parameters</t>
  </si>
  <si>
    <t>*mobile-passenger\lib\data\apis\api_helper.dart:103,130 (if (headers != null) {} does nothing)</t>
  </si>
  <si>
    <t>Several unused variables and parameters that serve no purpose.</t>
  </si>
  <si>
    <t>Code clutter, confusion about intent, wasted memory.</t>
  </si>
  <si>
    <t>*Remove unused variables</t>
  </si>
  <si>
    <t>Clean Code Principles</t>
  </si>
  <si>
    <t>BUGS-MP-036</t>
  </si>
  <si>
    <t>Inconsistent Async/Await Pattern</t>
  </si>
  <si>
    <t>*Mix of .then() callbacks and async/await throughout codebase</t>
  </si>
  <si>
    <t>Some functions use async/await, others use .then() callbacks inconsistently, making code style inconsistent.</t>
  </si>
  <si>
    <t>Harder to read and maintain, increased cognitive load, error-prone.</t>
  </si>
  <si>
    <t>*Standardize on async/await pattern</t>
  </si>
  <si>
    <t>Dart Async Programming Best Practices</t>
  </si>
  <si>
    <t>BUGS-MD-001</t>
  </si>
  <si>
    <t>Bug</t>
  </si>
  <si>
    <t>Race condition in Firebase user data initialization</t>
  </si>
  <si>
    <t>*lib/shared/provider/users_provider.dart:330-351</t>
  </si>
  <si>
    <t>`setUserDefaultDataToFirebase` uses `Future.wait` to create Firebase documents in parallel, but doesn't verify if documents already exist. If called twice during rapid sign-ups or retries, it may fail or overwrite existing trip data.</t>
  </si>
  <si>
    <t>During poor network conditions or rapid button presses during signup, the same driver may end up with duplicate Firebase documents, corrupted trip state, or race conditions that prevent proper trip assignment. Drivers can't go online or receive trips.</t>
  </si>
  <si>
    <t>*Add existence checks before creating Firebase documents using `DocumentReference.get()` then conditional `.set()` only if document doesn't exist. 
*Implement idempotency keys for user creation. 
*Use Firestore transactions to ensure atomic document creation. 
*Add retry logic with exponential backoff.</t>
  </si>
  <si>
    <t>Firebase Firestore Transaction Patterns; Idempotency Best Practices</t>
  </si>
  <si>
    <t>BUGS-MD-002</t>
  </si>
  <si>
    <t>Background push handler never processes payload</t>
  </si>
  <si>
    <t>*lib/notification_manager/notification_api.dart:73-85</t>
  </si>
  <si>
    <t>`firebaseMessagingBackgroundHandler` ignores the incoming `RemoteMessage` and instead registers a new `onMessage` listener (which only fires in foreground) while still referencing the stale payload.</t>
  </si>
  <si>
    <t>When the app is backgrounded/terminated, drivers never see trip offers or safety alerts until they manually foreground the app, causing missed work.</t>
  </si>
  <si>
    <t>*Handle the `message` parameter synchronously inside the background handler, raise a local notification there, and avoid interacting with UI-only APIs in that isolate.</t>
  </si>
  <si>
    <t>Firebase Cloud Messaging Background Execution Guide; Google Play Driver Safety Alert Requirements</t>
  </si>
  <si>
    <t>BUGS-MD-003</t>
  </si>
  <si>
    <t>Notification listeners multiply on every tap</t>
  </si>
  <si>
    <t>*lib/notification_manager/notification_api.dart:151-180</t>
  </si>
  <si>
    <t>`_handleMessage` registers a fresh `FirebaseMessaging.onMessage.listen` every time a notification is tapped and never cancels it.</t>
  </si>
  <si>
    <t>Each push adds another handler so future notifications trigger duplicate dialogs/navigation and eventually leak memory.</t>
  </si>
  <si>
    <t>*Register the foreground listener once (e.g., during `NotificationApi.init`), store the subscription, and prevent `_handleMessage` from attaching additional listeners.</t>
  </si>
  <si>
    <t>Firebase Messaging Foreground Notifications; Effective Dart – Streams</t>
  </si>
  <si>
    <t>BUGS-MD-004</t>
  </si>
  <si>
    <t>Map initialization ignores denied permissions</t>
  </si>
  <si>
    <t>*lib/modules/trip/providers/map_provider.dart:48-120</t>
  </si>
  <si>
    <t>The constructor always calls `initMap()` right after `determinePosition()` even when the latter returned early because GPS is off or permission was denied; `initMap` immediately calls `Geolocator.getCurrentPosition()` without guarding exceptions.</t>
  </si>
  <si>
    <t>If a driver says "No" to the location prompt or disables the service, the app throws and never reaches the sign-in screen.</t>
  </si>
  <si>
    <t>*Only invoke `initMap` when permission/service checks succeed, wrap `Geolocator` calls in try/catch, and show a UX that routes drivers to settings instead of crashing.</t>
  </si>
  <si>
    <t>Android Location Permission UX; Apple Human Interface Guidelines – Location</t>
  </si>
  <si>
    <t>BUGS-MD-005</t>
  </si>
  <si>
    <t>Background location never switched off</t>
  </si>
  <si>
    <t>*lib/modules/trip/providers/map_provider.dart:302-339
*lib/modules/trip/providers/map_provider.dart:394-397</t>
  </si>
  <si>
    <t>`startCurrentLocationStreaming` enables background mode on the `location` plugin but `endCurrentLocationStreaming` only cancels the stream—background mode and OS indicators remain active indefinitely.</t>
  </si>
  <si>
    <t>Devices keep showing the blue "location active" pill and draining battery even after drivers go offline/log out, violating Play/App Store background-location policies.</t>
  </si>
  <si>
    <t>*Pair every background enable with `enableBackgroundMode(false)` (and stop the service) when the driver ends a shift, and hook these calls into logout/offline states.</t>
  </si>
  <si>
    <t>Google Play Background Location Limits; Apple Location Services Best Practices</t>
  </si>
  <si>
    <t>BUGS-MD-006</t>
  </si>
  <si>
    <t>Pagination guard dereferences `totalTripsCount!` before it is set</t>
  </si>
  <si>
    <t>*lib/shared/provider/trip_history_provider.dart:27-45</t>
  </si>
  <si>
    <t>On the first call (the default path from `AllTripsScreen.initState`), `isRefresh` is false and `totalTripsCount` is still null, yet the code immediately executes `(tripsPageCount-1)*10 &gt;= totalTripsCount!`.</t>
  </si>
  <si>
    <t>The null-assert operator throws on every fresh install or cache clear, so the Completed Trips screen crashes before any history can load.</t>
  </si>
  <si>
    <t>*Only run the pagination shortcut after `totalTripsCount` has been populated (e.g., guard with `if (totalTripsCount == null)`), and move the comparison after the first successful response.</t>
  </si>
  <si>
    <t>Effective Dart – Null Safety; Flutter Defensive Programming Guidelines</t>
  </si>
  <si>
    <t>BUGS-MD-007</t>
  </si>
  <si>
    <t>Compliance</t>
  </si>
  <si>
    <t>Account deletion hidden on Android</t>
  </si>
  <si>
    <t>*lib/modules/settings/screens/settings_screen.dart:145-158</t>
  </si>
  <si>
    <t>The "Delete Account" card is wrapped in `if (Platform.isIOS)`, so Android drivers never see (or can't access) the erasure flow.</t>
  </si>
  <si>
    <t>This violates GDPR/CCPA "Right to be Forgotten" obligations and the Play Store policy that requires an in-app account deletion option on every platform.</t>
  </si>
  <si>
    <t>*Remove the platform gate, expose the delete flow on Android, and ensure the backend endpoint is reachable from all builds.</t>
  </si>
  <si>
    <t>GDPR Art. 17; Google Play User Data Policy (Account Deletion)</t>
  </si>
  <si>
    <t>BUGS-MD-008</t>
  </si>
  <si>
    <t>Notification handler assumes `message.notification` is always present</t>
  </si>
  <si>
    <t>*lib/notification_manager/notification_api.dart:89-115
*lib/notification_manager/notification_api.dart:151-170</t>
  </si>
  <si>
    <t>Both the foreground listener and `_handleMessage` dereference `message.notification!.title/body` without null checks, even though backend trip alerts are sent as data-only payloads.</t>
  </si>
  <si>
    <t>Every silent/data push causes a `NoSuchMethodError` in the driver app, so high-priority offers and SOS acknowledgements never reach drivers.</t>
  </si>
  <si>
    <t>*Switch to reading from `message.data`, null-check `message.notification`, and only build local notifications when the fields actually exist.</t>
  </si>
  <si>
    <t>Firebase Cloud Messaging Data Message Guidelines; Google Play Background Notification Policy</t>
  </si>
  <si>
    <t>BUGS-MD-009</t>
  </si>
  <si>
    <t>Wallet calculation double-counts unclaimed transactions</t>
  </si>
  <si>
    <t>*lib/shared/provider/users_provider.dart:295-310</t>
  </si>
  <si>
    <t>In `getClaimedAndNotClaimedTransactions()`, line 306 adds each unclaimed transaction amount to `user!.wallet`, but wallet should already include unclaimed amounts from the backend. This causes the wallet balance to be inflated every time the method is called.</t>
  </si>
  <si>
    <t>Drivers see artificially inflated wallet balances that don't match backend records, leading to disputes during payouts, accounting inconsistencies, and loss of trust. Drivers may make financial decisions based on incorrect balance information.</t>
  </si>
  <si>
    <t>*Remove line 306 (`user!.wallet = user!.wallet! + singleTransaction.amount!`) as the wallet balance should come directly from the backend without client-side modifications. 
*Verify backend returns complete wallet including unclaimed amounts. 
*Add validation to compare frontend/backend wallet values and log discrepancies.</t>
  </si>
  <si>
    <t>Financial Data Integrity Standards; Double-Entry Bookkeeping Principles</t>
  </si>
  <si>
    <t>BUGS-MD-010</t>
  </si>
  <si>
    <t>Token stored in plain SharedPreferences without encryption</t>
  </si>
  <si>
    <t>*lib/data/local/cache_helper.dart:9-19
*lib/shared/utils/constants.dart:166</t>
  </si>
  <si>
    <t>Authentication tokens are stored in plain text using SharedPreferences without any encryption. On rooted/jailbroken devices or with ADB backup, tokens can be extracted and used for session hijacking.</t>
  </si>
  <si>
    <t>Attackers with physical device access or malware can steal authentication tokens and impersonate drivers, accept trips on their behalf, access sensitive passenger information, or perform unauthorized account modifications. This violates PCI DSS and GDPR requirements for secure credential storage.</t>
  </si>
  <si>
    <t>*Implement flutter_secure_storage or similar encryption library to store sensitive tokens in Android Keystore and iOS Keychain. 
*Add token expiration and refresh mechanisms. Implement certificate pinning for API calls. 
*Add jailbreak/root detection to warn users of compromised devices.</t>
  </si>
  <si>
    <t>OWASP MASVS-STORAGE-1; PCI DSS Requirement 3.4; GDPR Article 32</t>
  </si>
  <si>
    <t>BUGS-MD-011</t>
  </si>
  <si>
    <t>Excessive debug logging exposes sensitive data</t>
  </si>
  <si>
    <t>*lib/data/apis/user_methods.dart:35-206
*lib/data/apis/api_helper.dart:23-66
*lib/notification_manager/notification_api.dart (multiple locations)</t>
  </si>
  <si>
    <t>Throughout the codebase, 244+ print/debugPrint statements log sensitive information including passwords, tokens, API responses with PII, and internal system details. These logs persist in device logs accessible via ADB and crash reporting systems.</t>
  </si>
  <si>
    <t>Sensitive data including passwords ("password: xyz"), tokens ("token from cache"), phone numbers, and full API responses are logged and can be extracted by malware, ADB debugging, or crash reporting tools like Firebase Crashlytics. This violates GDPR's data minimization principle and creates forensic evidence trails.</t>
  </si>
  <si>
    <t>*Remove all print statements from production code using a custom logging wrapper that only logs in debug mode.
*Implement proper logging levels (ERROR, WARNING, INFO, DEBUG) and strip DEBUG/INFO logs from release builds using ProGuard/R8 rules. 
*Sanitize any necessary logs to redact PII and credentials.</t>
  </si>
  <si>
    <t>OWASP Logging Cheat Sheet; GDPR Article 5 (Data Minimization); PCI DSS Requirement 3.2</t>
  </si>
  <si>
    <t>BUGS-MD-012</t>
  </si>
  <si>
    <t>Map screen shows hardcoded Arabic text regardless of locale</t>
  </si>
  <si>
    <t>*lib/modules/home/screens/map_screen.dart:60</t>
  </si>
  <si>
    <t>When map initialization fails, the error message is hardcoded in Arabic: `'لا نستطيع الحصول على الموقع'` instead of using localization. This breaks the UX for English-speaking drivers.</t>
  </si>
  <si>
    <t>English-speaking drivers see Arabic error messages they cannot understand, leading to confusion and inability to troubleshoot location issues. This violates accessibility standards and creates a poor user experience for international drivers.</t>
  </si>
  <si>
    <t>*Replace hardcoded string with `AppLocalizations.of(context)!.cannotGetLocation` and add the translation to both `app_localizations_en.dart` and `app_localizations_ar.dart`. 
*Audit entire codebase for other hardcoded strings.</t>
  </si>
  <si>
    <t>Material Design Internationalization Guidelines; WCAG 2.1 Language of Parts</t>
  </si>
  <si>
    <t>BUGS-MD-013</t>
  </si>
  <si>
    <t>Location stream never disposed properly</t>
  </si>
  <si>
    <t>*lib/modules/trip/providers/map_provider.dart:302-339,394-397</t>
  </si>
  <si>
    <t>The location stream subscription is stored in `locationSubscription` but `endCurrentLocationStreaming()` only calls `cancel()` without nulling the reference. If the stream is restarted, it may create multiple active streams, each uploading location data to Firebase.</t>
  </si>
  <si>
    <t>Multiple concurrent location streams upload duplicate position data to Firebase, consuming excessive bandwidth, battery, and Firestore write quota. This multiplies cloud costs and can exhaust Firebase's free tier limits, causing service outages. Drivers experience severe battery drain.</t>
  </si>
  <si>
    <t>*After calling `locationSubscription?.cancel()`, set `locationSubscription = null`. 
*Check if subscription is already active before creating new one. 
*Implement proper lifecycle management in a StatefulWidget's dispose() method. 
*Add stream controller for better control.</t>
  </si>
  <si>
    <t>Flutter Stream Management Best Practices; Resource Cleanup Patterns</t>
  </si>
  <si>
    <t>BUGS-MD-014</t>
  </si>
  <si>
    <t>Password validation regex allows weak passwords</t>
  </si>
  <si>
    <t>*lib/modules/authentication/signup/otp_screen.dart:176-178,192-194</t>
  </si>
  <si>
    <t>Password regex `r'^(?=.*?[A-Z])(?=.*?[a-z])(?=.*?[0-9]).{8,}$'` requires uppercase, lowercase, and number, but allows common patterns like "Password1" and doesn't check for special characters or dictionary words.</t>
  </si>
  <si>
    <t>Drivers create weak passwords that are easily guessable or crackable through dictionary attacks, leading to account compromises. Attackers can gain unauthorized access to driver accounts, steal earnings, access sensitive passenger data, or perform fraud.</t>
  </si>
  <si>
    <t>*Strengthen regex to require special characters: `r'^(?=.*?[A-Z])(?=.*?[a-z])(?=.*?[0-9])(?=.*?[!@#\$&amp;*~]).{8,}$'`.
*Implement password strength meter. 
*Check against common password lists (Have I Been Pwned API). 
*Enforce minimum password length of 12 characters. Add rate limiting on password attempts.</t>
  </si>
  <si>
    <t>OWASP Authentication Cheat Sheet; NIST SP 800-63B Password Guidelines; PCI DSS 8.2.3</t>
  </si>
  <si>
    <t>BUGS-MD-015</t>
  </si>
  <si>
    <t>Missing privacy policy acknowledgment on data collection</t>
  </si>
  <si>
    <t>*lib/main.dart
*android/app/src/main/AndroidManifest.xml:9-10</t>
  </si>
  <si>
    <t>App requests ACCESS_BACKGROUND_LOCATION and collects continuous location data but doesn't show prominent privacy disclosure or obtain explicit consent before first location access, only showing generic policy link on sign-in screen.</t>
  </si>
  <si>
    <t>Violates Google Play's background location policy requiring "prominent disclosure" before requesting permission. App may be removed from Play Store. Also violates GDPR's informed consent requirements (Article 7) and CCPA's disclosure requirements. Users don't understand why 24/7 location tracking is needed.</t>
  </si>
  <si>
    <t xml:space="preserve">Implement multi-step permission flow: 
1) Show "Why we need location" dialog with clear explanation of background tracking. 
2) Link to detailed privacy policy section on location usage
3) Only then request permission. Add in-app privacy dashboard showing location data collection status. </t>
  </si>
  <si>
    <t>Google Play Background Location Policy; GDPR Article 7; CCPA Section 1798.100(b); Android Location Permissions Best Practices</t>
  </si>
  <si>
    <t>BUGS-MD-016</t>
  </si>
  <si>
    <t>Unchecked null dereference in notification handlers</t>
  </si>
  <si>
    <t>*lib/notification_manager/notification_api.dart:89-115,151-170</t>
  </si>
  <si>
    <t>Multiple locations access `navigatorKey.currentContext!` without null checking. If app is in background or terminated state when notification arrives, currentContext may be null, causing app crash on notification tap.</t>
  </si>
  <si>
    <t>App crashes when drivers tap notifications while app is in specific lifecycle states, preventing them from viewing trip details, responding to messages, or handling emergencies. Crash reports spike during high-traffic times when many notifications are sent.</t>
  </si>
  <si>
    <t>*Replace all `navigatorKey.currentContext!` with null-checked version: `final context = navigatorKey.currentContext; if (context == null) return;`.
*Store notification data and process it when app reaches active state. 
*Use notification payload data to navigate correctly after app initialization.</t>
  </si>
  <si>
    <t>Flutter Navigation Best Practices; Notification Handling Patterns; Null Safety Guidelines</t>
  </si>
  <si>
    <t>BUGS-MD-017</t>
  </si>
  <si>
    <t>Trip history loaders never recover from failures</t>
  </si>
  <si>
    <t>*lib/shared/provider/trip_history_provider.dart:27-63</t>
  </si>
  <si>
    <t>`getCompletedLiveOneWayTrips` sets `isLoading`/`hasMore` flags but never resets them if the network call throws, and there is no `finally` block to notify listeners.</t>
  </si>
  <si>
    <t>A single API failure leaves the Completed Trips tab stuck in a permanent loading state until the app is restarted.</t>
  </si>
  <si>
    <t>*Wrap the fetch in try/catch/finally so the loading flags are reset and `notifyListeners()` is invoked even on exceptions; surface the error to the UI.</t>
  </si>
  <si>
    <t>Effective Dart – Asynchronous Programming; Flutter ChangeNotifier Best Practices</t>
  </si>
  <si>
    <t>BUGS-MD-018</t>
  </si>
  <si>
    <t>Transaction ID display logic will crash on short UUIDs</t>
  </si>
  <si>
    <t>*lib/modules/wallet/screens/wallet_screen.dart:170,181</t>
  </si>
  <si>
    <t>Code splits transaction IDs by '-' and takes first element: `transactionId!.split('-')[0]`, assuming UUID format. If backend ever sends non-UUID transaction IDs, this will crash or display unexpected values.</t>
  </si>
  <si>
    <t>App crashes with RangeError when displaying transactions if backend changes ID format or sends malformed IDs. Users cannot view their wallet history, leading to support tickets and inability to verify payments.</t>
  </si>
  <si>
    <t>*Check if transaction ID contains '-' before splitting, or use substring with length validation. 
*Use null-safe operators: `transactionId?.split('-').first ?? transactionId ?? 'N/A'`. 
*Add backend validation to ensure consistent ID format.</t>
  </si>
  <si>
    <t>Defensive Programming Principles; Null Safety Best Practices</t>
  </si>
  <si>
    <t>BUGS-MD-019</t>
  </si>
  <si>
    <t>Memory leak from Timer in advertisement widget</t>
  </si>
  <si>
    <t>`Timer.periodic` is created in `initState` but never stored in a class variable or cancelled in `dispose()`. The anonymous timer continues firing even after widget is disposed, causing memory leaks and potential crashes.</t>
  </si>
  <si>
    <t>Every time the home screen is visited, a new timer is created and orphaned when navigating away. After multiple navigation cycles, dozens of timers accumulate, consuming CPU/memory, draining battery, and eventually causing out-of-memory crashes or frame drops.</t>
  </si>
  <si>
    <t>*Store timer in a `Timer? _timer` class variable. In `dispose()`, call `_timer?.cancel()`. 
*Verify dispose is actually called by adding debug logs.
*Consider using AnimationController instead of Timer for better lifecycle management.</t>
  </si>
  <si>
    <t>Flutter Widget Lifecycle Management; Memory Leak Prevention; Resource Cleanup Best Practices</t>
  </si>
  <si>
    <t>BUGS-MD-020</t>
  </si>
  <si>
    <t>Dio timeout configuration insufficient for poor networks</t>
  </si>
  <si>
    <t>*lib/data/apis/api_helper.dart:12-14</t>
  </si>
  <si>
    <t>Dio timeout is set to 2 minutes for both connect and receive, but there's no retry logic. On cellular networks with packet loss, requests fail completely rather than retrying with backoff.</t>
  </si>
  <si>
    <t>Users on Edge/3G networks or in areas with poor signal experience frequent "connection timeout" errors when the request would have succeeded with a retry. This is especially problematic during trip operations (accept, start, end) leading to state inconsistencies.</t>
  </si>
  <si>
    <t>*Reduce initial timeout to 30 seconds. 
*Implement retry logic with exponential backoff using dio_retry_interceptor package (3 retries: 1s, 2s, 4s delays).
*Implement network quality detection to adjust timeout dynamically. 
*Add request queuing for failed critical operations.</t>
  </si>
  <si>
    <t>Network Resilience Patterns; Exponential Backoff Algorithm; Mobile Network Best Practices</t>
  </si>
  <si>
    <t>BUGS-DF-001</t>
  </si>
  <si>
    <t>*src\App.jsx</t>
  </si>
  <si>
    <t>Application has no global error boundary to catch rendering errors. Errors will crash entire application.</t>
  </si>
  <si>
    <t>Any component error causes white screen of death. No graceful degradation. Poor user experience. No error reporting.</t>
  </si>
  <si>
    <t>*Implement React Error Boundary at App level. Add error reporting to monitoring service. 
*Provide fallback UI with recovery options.</t>
  </si>
  <si>
    <t>React Best Practices, WCAG 2.1 - 3.3.1 Error Identification</t>
  </si>
  <si>
    <t>BUGS-DF-002</t>
  </si>
  <si>
    <t>Race Condition in Chat Message Loading</t>
  </si>
  <si>
    <t>*src\Firebase\Firebase.js:206-230</t>
  </si>
  <si>
    <t>getMessages function uses onSnapshot with complex callback handling. lastMsg variable modified globally without proper synchronization.</t>
  </si>
  <si>
    <t>Messages may load out of order. Duplicate messages possible. Chat state can become inconsistent during rapid updates.</t>
  </si>
  <si>
    <t>*Refactor to use proper state management. Implement message deduplication. 
*Use stable message IDs for ordering.</t>
  </si>
  <si>
    <t>React Best Practices, JavaScript Concurrency Patterns</t>
  </si>
  <si>
    <t>BUGS-DF-003</t>
  </si>
  <si>
    <t>Memory Leak: Event Listeners Not Cleaned Up</t>
  </si>
  <si>
    <t>*src\shared\grid-data-buttons\data-grid-font-weight-button\data-grid-font-weight-button.jsx:16-28</t>
  </si>
  <si>
    <t>Event listener cleanup function doesn't check if setShowOptions is still valid. Creates new style elements without removing old ones (lines 36, 58).</t>
  </si>
  <si>
    <t>Memory accumulates with repeated component mounting. Style elements pile up in document head. Performance degrades over time.</t>
  </si>
  <si>
    <t>*Properly cleanup event listeners with dependency array.
*Remove old style elements before adding new ones. 
*Use ref for cleanup.</t>
  </si>
  <si>
    <t>React Best Practices - useEffect Cleanup</t>
  </si>
  <si>
    <t>BUGS-DF-004</t>
  </si>
  <si>
    <t>Unhandled Promise Rejections</t>
  </si>
  <si>
    <t>Found throughout codebase, e.g., *src\Components\contexts\authContext\authContext.jsx:96-108</t>
  </si>
  <si>
    <t>Multiple async functions don't handle promise rejections. logout function (line 95) has try-catch but only logs error without user notification.</t>
  </si>
  <si>
    <t>Silent failures confuse users. Application state becomes inconsistent. Errors not reported to monitoring. Users unaware of failed operations.</t>
  </si>
  <si>
    <t>*Add comprehensive error handling to all async operations.
*Show user-friendly error messages. 
*Report to monitoring service.</t>
  </si>
  <si>
    <t>JavaScript Error Handling Best Practices</t>
  </si>
  <si>
    <t>BUGS-DF-005</t>
  </si>
  <si>
    <t>Insecure Password Reset Flow</t>
  </si>
  <si>
    <t>*src\Components\login\Login.jsx:28-29</t>
  </si>
  <si>
    <t>Password reset flow uses client-side state management (renderedSec) without proper token validation visible in code.</t>
  </si>
  <si>
    <t>Password reset tokens may be guessable or reusable. No expiration mechanism visible. Vulnerable to token prediction attacks.</t>
  </si>
  <si>
    <t>*Implement server-side token generation with expiration.
*Validate tokens on server. 
*Use cryptographically secure random tokens. 
*Single-use tokens.</t>
  </si>
  <si>
    <t>OWASP A07:2021 - Identification and Authentication Failures</t>
  </si>
  <si>
    <t>BUGS-DF-006</t>
  </si>
  <si>
    <t>Weak Password Requirements</t>
  </si>
  <si>
    <t>*src\Components\login\Login.jsx:62-66</t>
  </si>
  <si>
    <t>Password validation only checks for minimum 6 characters. No complexity requirements (uppercase, lowercase, numbers, special chars).</t>
  </si>
  <si>
    <t>Users can set weak passwords like "123456" or "password". Accounts more vulnerable to dictionary attacks and brute force.</t>
  </si>
  <si>
    <t>*Implement strong password policy: minimum 12 characters, uppercase, lowercase, numbers, special characters. 
*Use password strength meter.</t>
  </si>
  <si>
    <t>NIST SP 800-63B Digital Identity Guidelines, OWASP Authentication Cheat Sheet</t>
  </si>
  <si>
    <t>BUGS-DF-007</t>
  </si>
  <si>
    <t>No CSRF Protection Visible</t>
  </si>
  <si>
    <t>*src\shared\apiCall\ApiCall.js</t>
  </si>
  <si>
    <t>Axios interceptor doesn't show CSRF token handling. No X-CSRF-Token header or similar protection.</t>
  </si>
  <si>
    <t>State-changing requests vulnerable to CSRF attacks. Attackers can trick authenticated users into performing unwanted actions.</t>
  </si>
  <si>
    <t>*Implement CSRF token in headers. 
*Validate on backend. 
*Use SameSite cookie attribute.</t>
  </si>
  <si>
    <t>OWASP A01:2021 - Broken Access Control, OWASP CSRF Prevention Cheat Sheet</t>
  </si>
  <si>
    <t>BUGS-DF-008</t>
  </si>
  <si>
    <t>Hardcoded API URLs in Chat</t>
  </si>
  <si>
    <t>*src\Components\chat\chatForm.jsx:65</t>
  </si>
  <si>
    <t>Firebase Cloud Messaging URL hardcoded: 'https://fcm.googleapis.com/v1/projects/green-cadb3/messages:send'. Project ID exposed.</t>
  </si>
  <si>
    <t>Reveals infrastructure details. Makes testing difficult. Cannot easily switch environments. Project ID can be used for reconnaissance.</t>
  </si>
  <si>
    <t>*Move to environment variable. 
*Use VITE_FCM_ENDPOINT. 
*Hide project structure.</t>
  </si>
  <si>
    <t>Security by Design Principles</t>
  </si>
  <si>
    <t>BUGS-DF-009</t>
  </si>
  <si>
    <t>Language Selection Stored in localStorage Without Validation</t>
  </si>
  <si>
    <t>*src\i18n.js:17-19</t>
  </si>
  <si>
    <t>Language selection retrieved from localStorage without validation. Only checks existence, not if value is valid language code.</t>
  </si>
  <si>
    <t>Attackers could inject malicious language codes leading to rendering issues or potential code execution through translation strings.</t>
  </si>
  <si>
    <t>*Validate language code against whitelist of supported languages. 
*Provide fallback to default language.</t>
  </si>
  <si>
    <t>Input Validation Best Practices</t>
  </si>
  <si>
    <t>BUGS-DF-010</t>
  </si>
  <si>
    <t>No Session Timeout Implementation</t>
  </si>
  <si>
    <t>*src\Components\contexts\authContext\authContext.jsx</t>
  </si>
  <si>
    <t>No idle timeout or absolute session timeout implemented. Sessions persist indefinitely if user doesn't logout.</t>
  </si>
  <si>
    <t>Unattended sessions remain active. Risk of unauthorized access on shared/public computers. Violates security best practices.</t>
  </si>
  <si>
    <t>*Implement idle timeout (15-30 minutes). 
*Add absolute session timeout. 
*Prompt user before timeout. 
*Auto-refresh on activity.</t>
  </si>
  <si>
    <t>OWASP Session Management Cheat Sheet, NIST SP 800-63B</t>
  </si>
  <si>
    <t>BUGS-DF-011</t>
  </si>
  <si>
    <t>Axios Interceptor Initialized Multiple Times</t>
  </si>
  <si>
    <t>*src\App.jsx:43</t>
  </si>
  <si>
    <t>jwtInterceptor() called in App component render without useEffect. Creates new interceptor on every render.</t>
  </si>
  <si>
    <t>Multiple interceptors registered causing duplicate requests or header pollution. Performance degradation. Unexpected behavior.</t>
  </si>
  <si>
    <t>*Move interceptor initialization to useEffect with empty dependency array or initialize once at module level.</t>
  </si>
  <si>
    <t>React Best Practices, Axios Documentation</t>
  </si>
  <si>
    <t>BUGS-DF-012</t>
  </si>
  <si>
    <t>Dependency Array Issues in useEffect</t>
  </si>
  <si>
    <t>Found in multiple files. Example: *src\Components\contexts\authContext\authContext.jsx:134-142</t>
  </si>
  <si>
    <t>useEffect on line 134 has empty dependency array but uses navigate function which could change. Should include navigate in dependencies.</t>
  </si>
  <si>
    <t>Stale closure bugs. Effects may not run when they should. Unpredictable behavior. React warnings in console.</t>
  </si>
  <si>
    <t>*Add all used variables to dependency arrays. 
*Use ESLint rule exhaustive-deps. 
*Use useCallback for function dependencies.</t>
  </si>
  <si>
    <t>React Hooks Rules, React Documentation</t>
  </si>
  <si>
    <t>BUGS-DF-013</t>
  </si>
  <si>
    <t>Improper Error Message Construction</t>
  </si>
  <si>
    <t>*src\Components\contexts\errmsgContext\errMsgContext.jsx:26-56</t>
  </si>
  <si>
    <t>Complex string concatenation logic for error messages with multiple nested conditions. Logic error on line 34: ternary operator condition incorrect.</t>
  </si>
  <si>
    <t>Error messages may be malformed or missing. Confusing user feedback. Operators precedence issues causing wrong message display.</t>
  </si>
  <si>
    <t>*Refactor using template literals and proper conditional logic.
*Test all error scenarios. Use i18n for all error messages.</t>
  </si>
  <si>
    <t>JavaScript Best Practices, UX Error Messaging Guidelines</t>
  </si>
  <si>
    <t>BUGS-DF-014</t>
  </si>
  <si>
    <t>Commented Out Critical Code</t>
  </si>
  <si>
    <t>*src\shared\apiCall\ApiCall.js:21
*src\AppNavigation\Navigation.jsx:20-27, 353, 698-718</t>
  </si>
  <si>
    <t>Multiple sections of critical code commented out: 401 redirect handler, several route components (UsersLogs, UserLogs, GeneralSettings).</t>
  </si>
  <si>
    <t>Unclear which features are enabled. Commented code causes confusion. May indicate incomplete features or bugs. Dead code in production.</t>
  </si>
  <si>
    <t>*Remove unused code or properly implement features. 
*Use feature flags for incomplete features. 
*Document why code is disabled.</t>
  </si>
  <si>
    <t>Clean Code Principles, SOLID Principles</t>
  </si>
  <si>
    <t>BUGS-DF-015</t>
  </si>
  <si>
    <t>No Loading States for Async Operations</t>
  </si>
  <si>
    <t>*src\Components\contexts\authContext\authContext.jsx:111-132</t>
  </si>
  <si>
    <t>authenticateUser function has no loading state. User has no feedback during authentication check.</t>
  </si>
  <si>
    <t>Poor user experience. User clicks multiple times. Duplicate requests. No indication of ongoing operation.</t>
  </si>
  <si>
    <t>*Add loading state for all async operations. 
*Show spinners or skeleton screens. 
*Disable interactive elements during loading.</t>
  </si>
  <si>
    <t>UX Best Practices, WCAG 2.1 - 2.2.1 Timing Adjustable</t>
  </si>
  <si>
    <t>BUGS-DF-016</t>
  </si>
  <si>
    <t>No Privacy Policy Link</t>
  </si>
  <si>
    <t>*index.html, no privacy policy route found</t>
  </si>
  <si>
    <t>No visible privacy policy link or route. GDPR requires clear privacy information.</t>
  </si>
  <si>
    <t>GDPR non-compliance. Legal risk. Users cannot review data practices. Potential fines. Loss of user trust.</t>
  </si>
  <si>
    <t>*Add privacy policy page. 
*Link from login and settings. 
*Include data collection, retention, user rights. 
*Consult legal team.</t>
  </si>
  <si>
    <t>GDPR Article 13, Privacy by Design</t>
  </si>
  <si>
    <t>BUGS-DF-017</t>
  </si>
  <si>
    <t>No Cookie Consent Mechanism</t>
  </si>
  <si>
    <t>No cookie consent banner or mechanism found</t>
  </si>
  <si>
    <t>Application uses localStorage/sessionStorage without user consent. GDPR requires consent for non-essential cookies/storage.</t>
  </si>
  <si>
    <t>GDPR non-compliance. ePrivacy Directive violation. Legal risk in EU. Potential fines up to 4% of revenue.</t>
  </si>
  <si>
    <t>*Implement cookie consent banner. 
*Categorize cookies (essential, analytics, etc.). 
*Allow users to opt-in/out. 
*Document cookie usage.</t>
  </si>
  <si>
    <t>GDPR Article 6, ePrivacy Directive, CCPA</t>
  </si>
  <si>
    <t>BUGS-DF-018</t>
  </si>
  <si>
    <t>No Data Export Functionality</t>
  </si>
  <si>
    <t>No visible data export or portability feature</t>
  </si>
  <si>
    <t>GDPR grants users right to data portability. Admin users should be able to export their account data.</t>
  </si>
  <si>
    <t>GDPR Article 20 violation. Cannot fulfill data export requests. Legal compliance risk.</t>
  </si>
  <si>
    <t>*Implement data export functionality. 
*Allow users to download their data. Provide in machine-readable format.</t>
  </si>
  <si>
    <t>GDPR Article 20 - Right to Data Portability</t>
  </si>
  <si>
    <t>BUGS-DF-019</t>
  </si>
  <si>
    <t>Missing Input Length Validation</t>
  </si>
  <si>
    <t>*src\Components\chat\chatForm.jsx:99-111</t>
  </si>
  <si>
    <t>Chat input has minLength={1} but no maxLength validation. No client-side length limit.</t>
  </si>
  <si>
    <t>Users can send extremely long messages. Potential DoS via large payloads. Database storage issues. UI breaking with long strings.</t>
  </si>
  <si>
    <t>*Add maxLength to inputs. 
*Validate on client and server. 
*Truncate with ellipsis in UI. 
*Show character count.</t>
  </si>
  <si>
    <t>BUGS-DF-020</t>
  </si>
  <si>
    <t>Source Maps Enabled in Production</t>
  </si>
  <si>
    <t>*vite.config.js:29</t>
  </si>
  <si>
    <t>sourcemap: false configured but needs verification in build. Source maps may expose source code structure.</t>
  </si>
  <si>
    <t>Exposes application logic and structure. Makes reverse engineering easier. Shows file organization and business logic.</t>
  </si>
  <si>
    <t>*Disable source maps in production builds. 
*Enable only for staging/debugging. 
*Use error tracking service for production debugging.</t>
  </si>
  <si>
    <t>Security Best Practices, OWASP Production Configuration</t>
  </si>
  <si>
    <t>BUGS-DF-021</t>
  </si>
  <si>
    <t>Incorrect Type Checking</t>
  </si>
  <si>
    <t>*src\Components\chat\chatForm.jsx:116</t>
  </si>
  <si>
    <t>Condition checks msg &lt; 1 which compares string to number. Should check msg.length &lt; 1 or !msg.</t>
  </si>
  <si>
    <t>Logic error. Condition always true for non-empty strings. Button disable logic broken.</t>
  </si>
  <si>
    <t>*Implement the code fix, cover it with unit/integration tests, and add monitoring to catch regressions.</t>
  </si>
  <si>
    <t>TypeScript Handbook - Type System Best Practices</t>
  </si>
  <si>
    <t>BUGS-DF-022</t>
  </si>
  <si>
    <t>Potential Null Reference Errors</t>
  </si>
  <si>
    <t>Found throughout codebase with optional chaining</t>
  </si>
  <si>
    <t>Heavy use of optional chaining (?.) without proper null checks. May hide underlying data structure issues.</t>
  </si>
  <si>
    <t>Unexpected behavior when data structure changes. Silent failures. Difficulty debugging data issues.</t>
  </si>
  <si>
    <t>*Add proper null checks where data should exist. 
*Use TypeScript for type safety. 
*Add runtime validation.</t>
  </si>
  <si>
    <t>JavaScript Best Practices, Defensive Programming</t>
  </si>
  <si>
    <t>BUGS-DF-023</t>
  </si>
  <si>
    <t>Duplicate Package Managers</t>
  </si>
  <si>
    <t>Has package-lock.json, pnpm-lock.yaml, and pnpm-workspace.yaml</t>
  </si>
  <si>
    <t>Multiple package manager lock files present. README indicates pnpm is preferred but npm lock file exists.</t>
  </si>
  <si>
    <t>Dependency resolution conflicts. Version mismatches. Build inconsistencies across environments.</t>
  </si>
  <si>
    <t>*Choose one package manager (pnpm). 
*Remove other lock files. 
*Add .npmrc with engine-strict.</t>
  </si>
  <si>
    <t>Dependency Management Best Practices</t>
  </si>
  <si>
    <t>BUGS-DF-024</t>
  </si>
  <si>
    <t>Code Quality</t>
  </si>
  <si>
    <t>Inconsistent Import Organization</t>
  </si>
  <si>
    <t>Throughout codebase</t>
  </si>
  <si>
    <t>Imports not organized consistently. React imports mixed with local imports. No clear ordering pattern.</t>
  </si>
  <si>
    <t>Reduced code readability. Harder to identify missing imports. Merge conflict issues. Inconsistent code style.</t>
  </si>
  <si>
    <t>*Use ESLint import sorting rules. 
*Organize: React, third-party, local. 
*Use absolute imports. 
*Configure import aliases.</t>
  </si>
  <si>
    <t>Code Style Guidelines, Clean Code</t>
  </si>
  <si>
    <t>BUGS-DF-025</t>
  </si>
  <si>
    <t>TODO Comments Without Context</t>
  </si>
  <si>
    <t>Found 20+ TODO/FIXME comments in codebase</t>
  </si>
  <si>
    <t>TODO comments lack context, assignee, or tracking number. No timeline for completion. Many appear old/abandoned.</t>
  </si>
  <si>
    <t>Technical debt not tracked. Work gets forgotten. No accountability. Unclear priorities.</t>
  </si>
  <si>
    <t>*Link TODOs to issue tracker. 
*Add context and timeline. 
*Review and remove old TODOs. 
*Use issue tracking system.</t>
  </si>
  <si>
    <t>Project Management Best Practices</t>
  </si>
  <si>
    <t>BUGS-DF-026</t>
  </si>
  <si>
    <t>Magic Numbers Throughout Code</t>
  </si>
  <si>
    <t>*src\Components\chat\chatForm.jsx:8
*vite.config.js:23, 44</t>
  </si>
  <si>
    <t>Hardcoded numbers without explanation: expiration time 40 * 60 * 1000, port 5173, chunk size 800.</t>
  </si>
  <si>
    <t>Unclear meaning. Difficult to maintain. Easy to introduce bugs when changing. No central configuration.</t>
  </si>
  <si>
    <t>*Extract to named constants. 
*Use descriptive variable names. 
*Document units. 
*Create config file for app constants.</t>
  </si>
  <si>
    <t>Clean Code Principles, Code Maintainability</t>
  </si>
  <si>
    <t>BUGS-DF-027</t>
  </si>
  <si>
    <t>No PropTypes or TypeScript</t>
  </si>
  <si>
    <t>Entire codebase uses JavaScript without type checking</t>
  </si>
  <si>
    <t>No prop validation. No type safety. Easy to pass wrong props. Runtime errors instead of compile-time.</t>
  </si>
  <si>
    <t>Bugs discovered late. Difficult refactoring. Poor IDE support. Props usage unclear. Hard for new developers.</t>
  </si>
  <si>
    <t>*Migrate to TypeScript or add PropTypes. 
*Start with critical components. 
*Use strict mode. 
*Add interface documentation.</t>
  </si>
  <si>
    <t>Type Safety Best Practices, React Documentation</t>
  </si>
  <si>
    <t>BUGS-DF-028</t>
  </si>
  <si>
    <t>Mix of camelCase, kebab-case, PascalCase in component files</t>
  </si>
  <si>
    <t>Example: chatForm.jsx, ChatPage.jsx, data-grid.jsx, DeleteDialog.jsx. No consistent pattern followed.</t>
  </si>
  <si>
    <t>Difficult to locate files. Confusing for developers. Import statement inconsistencies. Poor project organization.</t>
  </si>
  <si>
    <t>*Standardize on PascalCase for components, camelCase for utilities. 
*Rename files consistently. 
*Update imports. 
*Document convention.</t>
  </si>
  <si>
    <t>Project Structure Best Practices, Team Coding Standards</t>
  </si>
  <si>
    <t>BUGS-DF-029</t>
  </si>
  <si>
    <t>No Account Deletion Option</t>
  </si>
  <si>
    <t>No visible account deletion or data retention policy</t>
  </si>
  <si>
    <t>Users cannot delete their accounts. No data retention timeframes visible. Required by GDPR right to erasure.</t>
  </si>
  <si>
    <t>GDPR Article 17 violation. Cannot fulfill deletion requests. Indefinite data retention. Legal risk.</t>
  </si>
  <si>
    <t>*Add account deletion feature. 
*Implement data retention policies. 
*Soft delete with recovery period. 
*Document retention periods.</t>
  </si>
  <si>
    <t>GDPR Article 17 - Right to Erasure</t>
  </si>
  <si>
    <t>BUGS-DB-001</t>
  </si>
  <si>
    <t>Firebase Private Key Exposed</t>
  </si>
  <si>
    <t>`api\green-cadb3-firebase.json` Lines 1-14</t>
  </si>
  <si>
    <t>Complete Firebase service account private key exposed in version control including:
- private_key (RSA private key)
- private_key_id
- client_email
- client_id</t>
  </si>
  <si>
    <t>Full Firebase database access. Attackers can read/write/delete all Firebase data, impersonate service account, access Google Cloud resources. Data breach, data manipulation, service disruption.</t>
  </si>
  <si>
    <t>1. IMMEDIATELY revoke the service account
2. Create new service account with minimal permissions
3. Remove JSON file from repository
4. Store in secure vault (Azure Key Vault, AWS Secrets Manager)
5. Audit all Firebase data for unauthorized access</t>
  </si>
  <si>
    <t>OWASP A02:2021 - Cryptographic Failures; CWE-522: Insufficiently Protected Credentials; GDPR Article 32</t>
  </si>
  <si>
    <t>BUGS-DB-002</t>
  </si>
  <si>
    <t>DEBUG Mode Enabled in Dev</t>
  </si>
  <si>
    <t>`api\settings\dev.py` Line 4</t>
  </si>
  <si>
    <t>DEBUG = True in development settings, risk of being used in production</t>
  </si>
  <si>
    <t>Information disclosure, detailed error pages exposing system internals, performance impact</t>
  </si>
  <si>
    <t>1. Ensure DEBUG=False in production
2. Use environment-specific settings
3. Add deployment checks
4. Implement proper error pages
5. Add DEBUG detection in startup</t>
  </si>
  <si>
    <t>OWASP A05:2021 - Security Misconfiguration; Django Security Best Practices</t>
  </si>
  <si>
    <t>BUGS-DB-003</t>
  </si>
  <si>
    <t>`Account\serializers.py` Lines 218, 292, 544, 642</t>
  </si>
  <si>
    <t>Password minimum length only 6 characters with no complexity requirements (no uppercase, special chars, numbers required)</t>
  </si>
  <si>
    <t>Weak passwords vulnerable to brute force attacks, dictionary attacks, credential stuffing</t>
  </si>
  <si>
    <t>1. Increase minimum password length to 12 characters
2. Require complexity (uppercase, lowercase, numbers, special chars)
3. Implement password strength meter
4. Check against common password lists
5. Enforce password history</t>
  </si>
  <si>
    <t>OWASP A07:2021 - Identification and Authentication Failures; NIST 800-63B Password Guidelines; CWE-521: Weak Password Requirements</t>
  </si>
  <si>
    <t>BUGS-DB-004</t>
  </si>
  <si>
    <t>OTP Token Expiry Too Long</t>
  </si>
  <si>
    <t>`Account\models.py` Line 82</t>
  </si>
  <si>
    <t>OTP tokens valid for 420 seconds (7 minutes). Standard is 60-90 seconds</t>
  </si>
  <si>
    <t>Extended attack window for OTP brute force, increases risk of OTP interception/replay</t>
  </si>
  <si>
    <t>1. Reduce OTP validity to 60-90 seconds
2. Implement OTP attempt limiting (max 3-5 attempts)
3. Add OTP throttling
4. Invalidate OTP after successful use
5. Log failed OTP attempts</t>
  </si>
  <si>
    <t>OWASP A07:2021 - Identification and Authentication Failures; NIST 800-63B OTP Guidelines</t>
  </si>
  <si>
    <t>BUGS-DB-005</t>
  </si>
  <si>
    <t>Insufficient Session Management</t>
  </si>
  <si>
    <t>`Account\authentications.py` Lines 20-46</t>
  </si>
  <si>
    <t>Custom authentication doesn't implement session fixation protection, concurrent session limits, or session binding</t>
  </si>
  <si>
    <t>Session hijacking, session fixation, concurrent session abuse, unauthorized access</t>
  </si>
  <si>
    <t>1. Implement session fixation protection
2. Add concurrent session limits
3. Bind sessions to IP/User-Agent
4. Implement session timeout
5. Add logout from all devices functionality</t>
  </si>
  <si>
    <t>OWASP A07:2021 - Identification and Authentication Failures; CWE-384: Session Fixation</t>
  </si>
  <si>
    <t>BUGS-DB-006</t>
  </si>
  <si>
    <t>Missing CSRF Token Validation</t>
  </si>
  <si>
    <t>`api\settings\base.py` Line 120</t>
  </si>
  <si>
    <t>CSRF middleware enabled but no enforcement on state-changing operations. Multiple AllowAny endpoints bypass CSRF</t>
  </si>
  <si>
    <t>Cross-Site Request Forgery attacks, unauthorized state changes, data manipulation</t>
  </si>
  <si>
    <t>1. Ensure CSRF tokens on all state-changing operations
2. Remove BasicAuthentication which bypasses CSRF
3. Implement SameSite cookie attribute
4. Add CSRF_TRUSTED_ORIGINS
5. Enable CSRF_COOKIE_SECURE</t>
  </si>
  <si>
    <t>OWASP A01:2021 - Broken Access Control; CWE-352: Cross-Site Request Forgery</t>
  </si>
  <si>
    <t>BUGS-DB-007</t>
  </si>
  <si>
    <t>No Account Lockout Mechanism</t>
  </si>
  <si>
    <t>`Account\views.py` Lines 126-270</t>
  </si>
  <si>
    <t>No account lockout after failed login attempts. Unlimited authentication attempts allowed</t>
  </si>
  <si>
    <t>Brute force attacks, credential stuffing, password spraying attacks</t>
  </si>
  <si>
    <t>1. Implement account lockout after 5-10 failed attempts
2. Add progressive delays between attempts
3. Implement CAPTCHA after failed attempts
4. Add account unlock mechanism
5. Send security alerts on lockout</t>
  </si>
  <si>
    <t>OWASP A07:2021 - Identification and Authentication Failures; CWE-307: Improper Restriction of Excessive Authentication Attempts</t>
  </si>
  <si>
    <t>BUGS-DB-008</t>
  </si>
  <si>
    <t>PyJWT Version Vulnerability</t>
  </si>
  <si>
    <t>`requirements.txt` Line 57</t>
  </si>
  <si>
    <t>PyJWT 2.5.0 may have vulnerabilities. Latest stable is 2.8+</t>
  </si>
  <si>
    <t>JWT token vulnerabilities, authentication bypass potential</t>
  </si>
  <si>
    <t>1. Upgrade PyJWT to latest version
2. Review JWT implementation
3. Test token validation
4. Implement token security best practices</t>
  </si>
  <si>
    <t>OWASP A06:2021 - Vulnerable and Outdated Components</t>
  </si>
  <si>
    <t>BUGS-DB-009</t>
  </si>
  <si>
    <t>Bug - Compliance &amp; Regulatory</t>
  </si>
  <si>
    <t>Missing Audit Logging for Sensitive Operations</t>
  </si>
  <si>
    <t>Insufficient audit logging for authentication events, authorization failures, data access, configuration changes</t>
  </si>
  <si>
    <t>Cannot detect security incidents, comply with regulations, forensic analysis impossible</t>
  </si>
  <si>
    <t>1. Implement comprehensive audit logging
2. Log all authentication events
3. Log authorization failures
4. Log sensitive data access
5. Implement log monitoring and alerting
6. Ensure logs are tamper-proof</t>
  </si>
  <si>
    <t>OWASP A09:2021 - Security Logging and Monitoring Failures; GDPR Article 30; PCI DSS 10.1</t>
  </si>
  <si>
    <t>BUGS-DB-010</t>
  </si>
  <si>
    <t>Missing Request Size Limits</t>
  </si>
  <si>
    <t>*dashboard-backend/api/settings/base.py:60-140</t>
  </si>
  <si>
    <t>No request size limits configured</t>
  </si>
  <si>
    <t>DoS attacks via large payloads, memory exhaustion, resource abuse</t>
  </si>
  <si>
    <t>1. Set DATA_UPLOAD_MAX_MEMORY_SIZE
2. Set FILE_UPLOAD_MAX_MEMORY_SIZE
3. Implement request body size limits
4. Add file upload validation
5. Monitor large requests</t>
  </si>
  <si>
    <t>OWASP A04:2021 - Insecure Design; CWE-770: Allocation of Resources Without Limits</t>
  </si>
  <si>
    <t>BUGS-DB-011</t>
  </si>
  <si>
    <t>Commented Out Code</t>
  </si>
  <si>
    <t>Throughout codebase (e.g., `Account\views.py` Lines 98-125, 639-696, 699-786)</t>
  </si>
  <si>
    <t>Large blocks of commented code reducing readability and maintenance</t>
  </si>
  <si>
    <t>Code bloat, confusion, maintenance burden, potential security issues if uncommented accidentally</t>
  </si>
  <si>
    <t>1. Remove all commented code
2. Use version control for history
3. Document decisions in commit messages
4. Clean up codebase
5. Implement code review process</t>
  </si>
  <si>
    <t>Clean Code Principles; SOLID Principles</t>
  </si>
  <si>
    <t>BUGS-DB-012</t>
  </si>
  <si>
    <t>Excessive Exception Handling with Print</t>
  </si>
  <si>
    <t>Multiple files (e.g., `Transaction\views.py` Line 114
`Car\views.py` Lines 155, 169, 425)</t>
  </si>
  <si>
    <t>Exceptions caught but only printed, not properly logged or handled</t>
  </si>
  <si>
    <t>Silent failures, debugging difficulties, production issues undetected</t>
  </si>
  <si>
    <t>1. Replace print() with proper logging
2. Implement exception monitoring (Sentry)
3. Add proper error handling
4. Set up alerting
5. Log with context information</t>
  </si>
  <si>
    <t>Python Logging Best Practices; 12-Factor App</t>
  </si>
  <si>
    <t>BUGS-DB-013</t>
  </si>
  <si>
    <t>Requests Version Missing Security Patches</t>
  </si>
  <si>
    <t>`requirements.txt` Line 66</t>
  </si>
  <si>
    <t>Requests 2.31.0 missing latest security patches</t>
  </si>
  <si>
    <t>Potential SSL verification issues, HTTP vulnerabilities</t>
  </si>
  <si>
    <t>1. Upgrade to requests 2.32+
2. Review SSL/TLS configuration
3. Implement certificate pinning
4. Add request timeout limits</t>
  </si>
  <si>
    <t>BUGS-DB-014</t>
  </si>
  <si>
    <t>Inconsistent Naming Conventions</t>
  </si>
  <si>
    <t>Multiple files</t>
  </si>
  <si>
    <t>Mixed naming conventions (snake_case, camelCase), inconsistent variable naming</t>
  </si>
  <si>
    <t>Code readability issues, maintenance difficulties, team confusion</t>
  </si>
  <si>
    <t>1. Follow PEP 8 consistently
2. Use snake_case for variables/functions
3. Use PascalCase for classes
4. Implement linting (flake8, black)
5. Add pre-commit hooks</t>
  </si>
  <si>
    <t>PEP 8 Style Guide; Python Naming Conventions</t>
  </si>
  <si>
    <t>BUGS-DB-015</t>
  </si>
  <si>
    <t>*dashboard-backend/Driver/models.py</t>
  </si>
  <si>
    <t>MongoDB collections without proper indexing</t>
  </si>
  <si>
    <t>Slow queries, poor performance on large datasets, database resource waste</t>
  </si>
  <si>
    <t>1. Add indexes on frequently queried fields
2. Index foreign key fields
3. Add compound indexes for common queries
4. Monitor slow queries
5. Implement query optimization</t>
  </si>
  <si>
    <t>Database Performance Best Practices; MongoDB Indexing Guide</t>
  </si>
  <si>
    <t>BUGS-MB-001</t>
  </si>
  <si>
    <t>TripDrivePassengerView Is World-Readable</t>
  </si>
  <si>
    <t>mobile-backend/Trip/views.py:477-488</t>
  </si>
  <si>
    <t>The view is marked AllowAny and returns the full driver and passenger objects (including phone numbers) for any trip ID.</t>
  </si>
  <si>
    <t>An unauthenticated user with an incremental Mongo ID can scrape the entire ride history with PII for both parties.</t>
  </si>
  <si>
    <t>Restrict the view to authenticated users who own the trip, strip sensitive fields from the serializer, and log access.</t>
  </si>
  <si>
    <t>OWASP A01:2021 Broken Access Control; GDPR Data Minimization</t>
  </si>
  <si>
    <t>BUGS-MB-002</t>
  </si>
  <si>
    <t>Legacy settings.py.save Leaks SECRET_KEY and Debug Defaults</t>
  </si>
  <si>
    <t>mobile-backend/api/settings.py.save</t>
  </si>
  <si>
    <t>An old settings snapshot keeps the production SECRET_KEY, DEBUG = True, and ALLOWED_HOSTS = ['*'] as committed code.</t>
  </si>
  <si>
    <t>Attackers gain the Django signing key and a blueprint of insecure deployment defaults, making cookie forgery or host header attacks trivial.</t>
  </si>
  <si>
    <t>Delete the backup file from git history, rotate Django SECRET_KEY everywhere, and document hardening steps so debug configs never ship to prod.</t>
  </si>
  <si>
    <t>OWASP A05:2021 Security Misconfiguration; CIS Django Benchmark</t>
  </si>
  <si>
    <t>BUGS-MB-003</t>
  </si>
  <si>
    <t>Driver Phone Verification Endpoint Enables Enumeration and Deletion</t>
  </si>
  <si>
    <t>mobile-backend/Driver/views.py:146-200</t>
  </si>
  <si>
    <t>The anonymous /driver/verify-phone endpoint returns “Found”/“Not Found” for any phone number and deletes the pending driver/Account documents when OTPs expire.</t>
  </si>
  <si>
    <t>Attackers can confirm whether a number is registered and force deletion of new driver sign-ups by repeatedly probing stale OTPs.</t>
  </si>
  <si>
    <t>Require authentication or signed challenges, respond with a generic message, and never delete accounts from anonymous requests.</t>
  </si>
  <si>
    <t>OWASP API7:2023 Security Misconfiguration; OWASP A01 Broken Access Control</t>
  </si>
  <si>
    <t>BUGS-MB-004</t>
  </si>
  <si>
    <t>Passenger Email Verification Endpoint is Anonymous and Destructive</t>
  </si>
  <si>
    <t>It exposes whether an email is linked to Apple/Gmail and deletes associated passengers if verification expired.</t>
  </si>
  <si>
    <t>Enables account enumeration and targeted deletions for high-value passengers.</t>
  </si>
  <si>
    <t>Require authenticated recovery flows, mask the response, and remove deletion logic from this endpoint.</t>
  </si>
  <si>
    <t>OWASP API7:2023</t>
  </si>
  <si>
    <t>BUGS-MB-005</t>
  </si>
  <si>
    <t>Throttle Rates Set to 1000/min anon and 5000/sec user</t>
  </si>
  <si>
    <t>mobile-backend/api/settings/base.py:84-92</t>
  </si>
  <si>
    <t>The DEFAULT_THROTTLE_RATES allow anonymous callers 1,000 requests per minute and authenticated clients 5,000 requests per second.</t>
  </si>
  <si>
    <t>These numbers effectively disable rate limiting, making brute force, OTP spraying, and volumetric DoS straightforward.</t>
  </si>
  <si>
    <t>Derive realistic limits from capacity planning (e.g., 30 req/min for auth, 120 req/min for data APIs) and add adaptive throttles on sensitive endpoints.</t>
  </si>
  <si>
    <t>OWASP API4:2023 Unrestricted Resource Consumption; NIST SP 800-10</t>
  </si>
  <si>
    <t>BUGS-MB-006</t>
  </si>
  <si>
    <t>Payment Callback Endpoints Dump Query Strings to Logs</t>
  </si>
  <si>
    <t>mobile-backend/Transaction/views.py:134-158</t>
  </si>
  <si>
    <t>Both QNB and MyFatoorah callbacks call print on the entire query dict, including token, paymentId, and passenger IDs.</t>
  </si>
  <si>
    <t>API tokens and personally identifiable data end up in central logs, increasing insider threat and compliance exposure.</t>
  </si>
  <si>
    <t>Replace prints with structured logging that redacts secrets, or disable verbose logs outside of trace environments.</t>
  </si>
  <si>
    <t>OWASP Logging Cheat Sheet; GDPR Article 32</t>
  </si>
  <si>
    <t>BUGS-MB-007</t>
  </si>
  <si>
    <t>Trip Creation Busy-Waits on Cache Without Timeout</t>
  </si>
  <si>
    <t>mobile-backend/Trip/views.py:249-312</t>
  </si>
  <si>
    <t>After queuing process_trip_async, the view spins on while not block: block = cache.get(trip.id) with no sleep or timeout.</t>
  </si>
  <si>
    <t>Web workers peg CPU and hang indefinitely whenever the Celery task crashes or the cache entry is never written.</t>
  </si>
  <si>
    <t>Add a bounded wait with exponential backoff, push progress via WebSocket/Firebase, and surface a timeout error to the client.</t>
  </si>
  <si>
    <t>ISO/IEC 25010 Performance Efficiency; Google Mobile Vitals</t>
  </si>
  <si>
    <t>BUGS-MB-008</t>
  </si>
  <si>
    <t>clean_drivers_data Zips Unrelated Firestore Collections</t>
  </si>
  <si>
    <t>mobile-backend/Modules/firebase.py:31-44</t>
  </si>
  <si>
    <t>clean_drivers_data zips the driver and driver_trip collections, assuming equal ordering and length, then updates each pair.</t>
  </si>
  <si>
    <t>Whenever the collection sizes diverge, drivers receive another driver's status/trip info, corrupting live availability data.</t>
  </si>
  <si>
    <t>Iterate driver collections independently by document ID, handle missing trip documents gracefully, and add tests for asymmetry.</t>
  </si>
  <si>
    <t>ISO/IEC 25010 Reliability</t>
  </si>
  <si>
    <t>Savings/month</t>
  </si>
  <si>
    <t>AWS-001</t>
  </si>
  <si>
    <t>Architecture</t>
  </si>
  <si>
    <t>The EC2 instance i-01d9d8b30a74fae1b (mobile) is over provisioned.</t>
  </si>
  <si>
    <t xml:space="preserve">EC2-Dashboard </t>
  </si>
  <si>
    <t>According to CPU usage and AWS recommendations, this EC2 is over provisioned and needs reduced compute capacity.</t>
  </si>
  <si>
    <t>High spend on idle compute; AWS projects 70% cost savings if rightsized.</t>
  </si>
  <si>
    <t>Change EC2 type from m5dn.2xlarge to is4gen.medium.</t>
  </si>
  <si>
    <t>AWS Well-Architected Framework – Cost Optimization Pillar
AWS Compute Optimizer Rightsizing Guidance</t>
  </si>
  <si>
    <t>AWS-002</t>
  </si>
  <si>
    <t>The EC2 instance i-0eb1bbd45ea19979e (live2) is over provisioned.</t>
  </si>
  <si>
    <t>Based on CPU metrics and AWS guidance, this EC2 is oversized for the workload.</t>
  </si>
  <si>
    <t>Paying 42% more than necessary for unused capacity.</t>
  </si>
  <si>
    <t>Change EC2 type from m5dn.large to c6gd.large.</t>
  </si>
  <si>
    <t xml:space="preserve">AWS Well-Architected Framework – Cost Optimization Pillar
AWS Compute Optimizer Rightsizing Guidance
								</t>
  </si>
  <si>
    <t>AWS-003</t>
  </si>
  <si>
    <t>The EC2 instance i-0e935890cfd61f7c0 (live) is mis-sized.</t>
  </si>
  <si>
    <t>Usage data shows the instance can be downsized without impacting performance.</t>
  </si>
  <si>
    <t>Approximately 15% of compute spend can be saved while meeting capacity needs.</t>
  </si>
  <si>
    <t>Change EC2 type from m5dn.xlarge to r6gd.xlarge.</t>
  </si>
  <si>
    <t xml:space="preserve">AWS Well-Architected Framework – Cost Optimization Pillar
AWS Compute Optimizer Recommendations
																</t>
  </si>
  <si>
    <t>AWS-004</t>
  </si>
  <si>
    <t>The EC2 instance i-0520151b34ebc5ef6 (staging-mobile) is over provisioned.</t>
  </si>
  <si>
    <t>CPU utilization trends indicate the current size is excessive for staging traffic.</t>
  </si>
  <si>
    <t>Spending 57% more than required for the staging environment.</t>
  </si>
  <si>
    <t>Change EC2 type from m5n.large to r6g.medium.</t>
  </si>
  <si>
    <t>AWS-005</t>
  </si>
  <si>
    <t>The EC2 instance i-076e8ec11457150f6 (live2-front-staging) is over provisioned.</t>
  </si>
  <si>
    <t>Monitoring shows the instance is mostly idle for its allocated size.</t>
  </si>
  <si>
    <t>Excess compute spend with up to 88% reduction available.</t>
  </si>
  <si>
    <t>Change EC2 type from c6a.xlarge to t4g.small.</t>
  </si>
  <si>
    <t>AWS-006</t>
  </si>
  <si>
    <t>The EC2 instance i-0d1ebd56f4b6b206c (recover-test) is over provisioned.</t>
  </si>
  <si>
    <t>Usage telemetry confirms the DR/test node is rightsizeable.</t>
  </si>
  <si>
    <t>Overpaying by ~55% for the recovery test environment.</t>
  </si>
  <si>
    <t>Change EC2 type from m5n.2xlarge to r6g.xlarge.</t>
  </si>
  <si>
    <t>AWS-007</t>
  </si>
  <si>
    <t>Over provisioned EC2 resources make up ~71.4% of October 2025 cost.</t>
  </si>
  <si>
    <t>Most EC2 machines (6 of 7) are oversized, driving the majority of spend.</t>
  </si>
  <si>
    <t>Sustained high infrastructure cost because compute dominates the bill.</t>
  </si>
  <si>
    <t xml:space="preserve">Apply the rightsizing actions described in AWS-001 through AWS-007.	</t>
  </si>
  <si>
    <t xml:space="preserve">AWS Well-Architected Framework – Cost Optimization Pillar; FinOps Foundation Rightsizing Playbook
								</t>
  </si>
  <si>
    <t>AWS-008</t>
  </si>
  <si>
    <t>Architecture - Storage</t>
  </si>
  <si>
    <t>Too many EBS volume snapshots are retained, including very old copies.</t>
  </si>
  <si>
    <t>Snapshot inventory has grown without lifecycle management.</t>
  </si>
  <si>
    <t>Over-consumption of persistent storage and risk of restoring outdated data.</t>
  </si>
  <si>
    <t>Define and enforce a backup strategy with retention limits per project requirements.</t>
  </si>
  <si>
    <t xml:space="preserve">AWS Well-Architected Framework – Reliability Pillar; AWS Backup Best Practices Whitepaper
								</t>
  </si>
  <si>
    <t>AWS-009</t>
  </si>
  <si>
    <t>No consistent time slot is defined between backups.</t>
  </si>
  <si>
    <t>Snapshots occur irregularly, leaving unclear recovery points.</t>
  </si>
  <si>
    <t>Potential data-loss window due to inconsistent RPO/RTO expectations.</t>
  </si>
  <si>
    <t>Define backup cadence, time slots, and incremental policies aligned to requirements.</t>
  </si>
  <si>
    <t>Archi-SG</t>
  </si>
  <si>
    <t>Security groups allow 0.0.0.0/0 to port 22.</t>
  </si>
  <si>
    <t>High likelihood of brute-force or credential-stuffing attacks.</t>
  </si>
  <si>
    <t>Restrict SSH to trusted IP ranges or VPN jump hosts; close public access.</t>
  </si>
  <si>
    <t>AWS-011</t>
  </si>
  <si>
    <t>Database port is exposed to the internet (0.0.0.0/0) for EC2 i-0e935890cfd61f7c0.</t>
  </si>
  <si>
    <t>DB listener accepts public traffic, violating least-privilege networking.</t>
  </si>
  <si>
    <t>Risk of unauthorized access, data exfiltration, or SQL exploits.</t>
  </si>
  <si>
    <t>Close or restrict the database port to trusted networks/private subnets.</t>
  </si>
  <si>
    <t>AWS-012</t>
  </si>
  <si>
    <t>AWS-Feature</t>
  </si>
  <si>
    <t>AWS Cost Optimization Hub is disabled.</t>
  </si>
  <si>
    <t xml:space="preserve">Dashboard </t>
  </si>
  <si>
    <t>The feature that surfaces automated savings opportunities is not active.</t>
  </si>
  <si>
    <t>Limited visibility into AWS-native cost KPIs and actions.</t>
  </si>
  <si>
    <t>Enable Cost Optimization Hub in the payer account.</t>
  </si>
  <si>
    <t xml:space="preserve">AWS Well-Architected Framework – Cost Optimization Pillar; AWS Billing &amp; Cost Management Best Practices
								</t>
  </si>
  <si>
    <t>AWS-013</t>
  </si>
  <si>
    <t>HTTP port 80 is open, allowing unencrypted public access.</t>
  </si>
  <si>
    <t>Traffic is accepted over plaintext HTTP without redirects.</t>
  </si>
  <si>
    <t>Exposure to interception, downgrade, and session hijacking attacks.</t>
  </si>
  <si>
    <t>Redirect HTTP to HTTPS (443) or close port 80 entirely.</t>
  </si>
  <si>
    <t xml:space="preserve">AWS Well-Architected Framework – Security Pillar; OWASP ASVS 2.1.1 Transport Layer Requirements
								</t>
  </si>
  <si>
    <t>AWS-014</t>
  </si>
  <si>
    <t>Low and inconsistent network activity indicates over-provisioned capacity.</t>
  </si>
  <si>
    <t>Network In/Out metrics stay minimal with only occasional spikes.</t>
  </si>
  <si>
    <t>Paying for unused bandwidth and higher-tier networking features.</t>
  </si>
  <si>
    <t>Review workload transfer needs and right-size or shift to cheaper networking tiers.</t>
  </si>
  <si>
    <t xml:space="preserve">AWS Well-Architected Framework – Cost Optimization &amp; Performance Efficiency Pillars; AWS Compute Optimizer
								</t>
  </si>
  <si>
    <t>AWS-015</t>
  </si>
  <si>
    <t>CPU utilization stays mostly under 10%.</t>
  </si>
  <si>
    <t>Instance is oversized relative to compute demand.</t>
  </si>
  <si>
    <t>Wasting budget on idle vCPUs and power overhead.</t>
  </si>
  <si>
    <t>Downsize to a smaller EC2 type or enable Auto Scaling to match workload.</t>
  </si>
  <si>
    <t xml:space="preserve">AWS Well-Architected Framework – Cost Optimization Pillar; FinOps Rightsizing Best Practices
								</t>
  </si>
  <si>
    <t>AWS-016</t>
  </si>
  <si>
    <t>Memory usage averages below 10%.</t>
  </si>
  <si>
    <t>RAM headroom is far beyond what the service uses.</t>
  </si>
  <si>
    <t>Higher cost without corresponding performance benefit.</t>
  </si>
  <si>
    <t>Move to an instance family with less RAM or consolidate workloads.</t>
  </si>
  <si>
    <t xml:space="preserve">AWS Well-Architected Framework – Cost Optimization &amp; Performance Efficiency Pillars
								</t>
  </si>
  <si>
    <t>AWS-017</t>
  </si>
  <si>
    <t>Very low read/write operations suggest over-provisioned storage.</t>
  </si>
  <si>
    <t>Disk I/O metrics are nearly flat with rare spikes.</t>
  </si>
  <si>
    <t>Paying for premium IOPS/volume size not being used.</t>
  </si>
  <si>
    <t>Reduce EBS size or switch to gp3/lower-tier storage to cut cost.</t>
  </si>
  <si>
    <t xml:space="preserve">AWS Well-Architected Framework – Cost Optimization Pillar; AWS EBS Volume Performance Guidelines
								</t>
  </si>
  <si>
    <t>AWS-018</t>
  </si>
  <si>
    <t>“Over-provisioned” status across all key metrics.</t>
  </si>
  <si>
    <t>AWS recommendations indicate resources (CPU, memory, network, disk) are larger than workload needs.</t>
  </si>
  <si>
    <t>Increased monthly costs, inefficient resource management, and missed cost optimization opportunities.</t>
  </si>
  <si>
    <t>Implement Cost Optimization Hub findings, apply rightsizing recommendations, and automate scaling based on actual usage patterns</t>
  </si>
  <si>
    <t>Security/Logging</t>
  </si>
  <si>
    <t>22 regions/accounts lack CloudTrail management event logging &amp; validation.</t>
  </si>
  <si>
    <t>Control-plane changes go unrecorded; audit/compliance violations and limited forensic capability</t>
  </si>
  <si>
    <t>Enable multi-region CloudTrail with log validation, KMS encryption, and SNS notifications; store logs in immutable S3.</t>
  </si>
  <si>
    <t>AWS CIS 3.1, ISO 27001 A.12.4, NIST 800-53 AU-2</t>
  </si>
  <si>
    <t>Identity &amp; Access</t>
  </si>
  <si>
    <t>22 IAM Access Analyzer alerts indicate resources shared with external principals.</t>
  </si>
  <si>
    <t>Unintended cross-account access can expose data or infrastructure controls.</t>
  </si>
  <si>
    <t>Review each analyzer finding, restrict resource policies, or document approved external access</t>
  </si>
  <si>
    <t>AWS CIS 1.20, Principle of Least Privilege</t>
  </si>
  <si>
    <t>AWS-021</t>
  </si>
  <si>
    <t>Backup &amp; DR</t>
  </si>
  <si>
    <t>Unmanaged EBS/RDS snapshot lifecycle</t>
  </si>
  <si>
    <t>AWS-Console</t>
  </si>
  <si>
    <t>Snapshots retained indefinitely with inconsistent intervals; no defined RPO/RTO</t>
  </si>
  <si>
    <t>Storage cost bloat and potential data loss if recent recovery points missing.</t>
  </si>
  <si>
    <t>Define backup policy, implement Lifecycle Manager/Automated snapshots, purge obsolete snapshots.</t>
  </si>
  <si>
    <t>AWS Reliability Pillar, ISO 27001 A.12.3</t>
  </si>
  <si>
    <t>Console users (audit-user, muhab) lack MFA; SES SMTP users use static keys without rotation; root account password active.</t>
  </si>
  <si>
    <t>Credential compromise can lead to full account takeover or SES abuse.</t>
  </si>
  <si>
    <t>Enforce MFA for all console users, rotate/disable legacy access keys, restrict root to break-glass only.</t>
  </si>
  <si>
    <t>AWS CIS 1.1/1.5, NIST IA-2, ISO 27001 A.9</t>
  </si>
  <si>
    <t>AWS-023</t>
  </si>
  <si>
    <t>Cost Optimization</t>
  </si>
  <si>
    <t>Unassociated Elastic IP addresses</t>
  </si>
  <si>
    <t>Two Elastic IPs remain allocated without attachments in eu-west-1.</t>
  </si>
  <si>
    <t>Creates recurring hourly charges and increases the chance of unexpected reuse of stale IPs.</t>
  </si>
  <si>
    <t>Release unused addresses or associate them with active resources; implement cleanup automation.</t>
  </si>
  <si>
    <t>AWS Cost Optimization Best Practices</t>
  </si>
  <si>
    <t>AWS-024</t>
  </si>
  <si>
    <t>Storage Optimization</t>
  </si>
  <si>
    <t>Underutilized Amazon EBS volumes</t>
  </si>
  <si>
    <t>Two gp2 volumes show consistently low throughput yet reserve high provisioned capacity.</t>
  </si>
  <si>
    <t>Paying for unused provisioned performance and risking missed lifecycle policies.</t>
  </si>
  <si>
    <t>Resize or snapshot-and-delete dormant volumes; migrate to gp3 with lower baseline cost.</t>
  </si>
  <si>
    <t>AWS Well-Architected Cost Optimization Pillar, Storage Lifecycle Guidance</t>
  </si>
  <si>
    <t>AWS-025</t>
  </si>
  <si>
    <t>Missing Savings Plan / RI coverage</t>
  </si>
  <si>
    <t>Trusted Advisor highlights insufficient Savings Plan commitments relative to steady EC2 usage.</t>
  </si>
  <si>
    <t>On-demand pricing leaves 15?20% savings unrealized across baseline compute.</t>
  </si>
  <si>
    <t>Purchase 1-year no-upfront Compute Savings Plans sized to baseline usage and monitor coverage monthly.</t>
  </si>
  <si>
    <t>AWS Cost Optimization Pillar, FinOps Commitment Management</t>
  </si>
  <si>
    <t>Network Security</t>
  </si>
  <si>
    <t>Two ALB target groups keep HTTP-only listeners and health checks, sending plaintext traffic inside VPC.</t>
  </si>
  <si>
    <t>Prevents enforcing TLS end-to-end and exposes credentials/headers during health checks.</t>
  </si>
  <si>
    <t>Switch ALB listeners and health checks to HTTPS, require TLS certificates, and limit listener ports.</t>
  </si>
  <si>
    <t>AWS Well-Architected Security Pillar, TLS Best Practices</t>
  </si>
  <si>
    <t>AWS-027</t>
  </si>
  <si>
    <t>Reserved Instance optimization warnings</t>
  </si>
  <si>
    <t>Trusted Advisor shows six RI mismatch/opportunity alerts indicating underutilized reservations or missing coverage.</t>
  </si>
  <si>
    <t>Continued on-demand usage and RI wastage reduces effective discount rate.</t>
  </si>
  <si>
    <t>Rebalance or modify existing RIs and align purchases with current instance families and regions.</t>
  </si>
  <si>
    <t>4 of 14 security group rules allow unrestricted access (0.0.0.0/0) to specific ports.</t>
  </si>
  <si>
    <t>Increases the attack surface by allowing anyone on the internet to reach application ports, risking brute-force and exploitation attacks.</t>
  </si>
  <si>
    <t>Restrict inbound rules to specific IP ranges or VPC CIDRs; implement Network ACLs or AWS WAF for extra protection.</t>
  </si>
  <si>
    <t>Network / Load Balancing</t>
  </si>
  <si>
    <t>1 of 2 ALB security groups allow overly permissive access or improper configuration.</t>
  </si>
  <si>
    <t>Potential exposure of backend EC2 instances to the public or bypass of security controls.</t>
  </si>
  <si>
    <t>Harden the ALB security group by allowing only required inbound traffic from trusted IPs or AWS-managed services.</t>
  </si>
  <si>
    <t>AWS Well-Architected Security Pillar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</si>
</sst>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yyyy\-mm\-dd;@"/>
    <numFmt numFmtId="166" formatCode="0.0"/>
  </numFmts>
  <fonts count="50" x14ac:knownFonts="1">
    <font>
      <sz val="11"/>
      <color theme="1"/>
      <name val="Aptos Narrow"/>
      <family val="2"/>
      <charset val="1"/>
    </font>
    <font>
      <sz val="11"/>
      <color theme="1"/>
      <name val="Aptos Narrow"/>
      <family val="2"/>
      <scheme val="minor"/>
    </font>
    <font>
      <sz val="11"/>
      <color rgb="FF000000"/>
      <name val="Aptos Narrow"/>
      <family val="2"/>
      <scheme val="minor"/>
    </font>
    <font>
      <b/>
      <sz val="14"/>
      <color rgb="FFFFFFFF"/>
      <name val="Aptos Narrow"/>
      <family val="2"/>
      <scheme val="minor"/>
    </font>
    <font>
      <sz val="14"/>
      <color theme="1"/>
      <name val="Aptos Narrow"/>
      <family val="2"/>
      <charset val="1"/>
    </font>
    <font>
      <b/>
      <sz val="22"/>
      <color rgb="FFFFFFFF"/>
      <name val="Aptos Narrow"/>
      <family val="2"/>
      <scheme val="minor"/>
    </font>
    <font>
      <sz val="11"/>
      <color theme="1"/>
      <name val="Aptos Narrow"/>
      <family val="2"/>
      <scheme val="minor"/>
    </font>
    <font>
      <b/>
      <sz val="14"/>
      <color rgb="FFEEEEEE"/>
      <name val="Aptos Narrow"/>
      <family val="2"/>
      <scheme val="minor"/>
    </font>
    <font>
      <b/>
      <sz val="11"/>
      <name val="Aptos Narrow"/>
      <family val="2"/>
      <scheme val="minor"/>
    </font>
    <font>
      <sz val="11"/>
      <color rgb="FF000000"/>
      <name val="Calibri"/>
      <family val="2"/>
    </font>
    <font>
      <b/>
      <sz val="11"/>
      <color rgb="FFFFFFFF"/>
      <name val="Aptos Narrow"/>
      <family val="2"/>
      <scheme val="minor"/>
    </font>
    <font>
      <sz val="11"/>
      <color rgb="FF000000"/>
      <name val="Aptos Narrow"/>
      <family val="2"/>
      <charset val="1"/>
    </font>
    <font>
      <b/>
      <sz val="11"/>
      <color rgb="FFFFFFFF"/>
      <name val="Aptos Narrow"/>
      <family val="2"/>
      <charset val="1"/>
    </font>
    <font>
      <b/>
      <sz val="16"/>
      <color rgb="FFFFFFFF"/>
      <name val="Aptos Narrow"/>
      <family val="2"/>
      <scheme val="minor"/>
    </font>
    <font>
      <b/>
      <sz val="12"/>
      <color rgb="FF9C0006"/>
      <name val="Aptos Narrow"/>
      <family val="2"/>
      <scheme val="minor"/>
    </font>
    <font>
      <b/>
      <sz val="12"/>
      <color rgb="FF9C5700"/>
      <name val="Aptos Narrow"/>
      <family val="2"/>
      <scheme val="minor"/>
    </font>
    <font>
      <sz val="12"/>
      <color rgb="FF9C6500"/>
      <name val="Aptos Narrow"/>
      <family val="2"/>
      <scheme val="minor"/>
    </font>
    <font>
      <sz val="12"/>
      <color rgb="FF006100"/>
      <name val="Aptos Narrow"/>
      <family val="2"/>
      <scheme val="minor"/>
    </font>
    <font>
      <b/>
      <sz val="12"/>
      <color rgb="FF000000"/>
      <name val="Aptos Narrow"/>
      <family val="2"/>
      <scheme val="minor"/>
    </font>
    <font>
      <sz val="12"/>
      <color rgb="FF000000"/>
      <name val="Aptos Narrow"/>
      <family val="2"/>
      <scheme val="minor"/>
    </font>
    <font>
      <sz val="12"/>
      <color theme="1"/>
      <name val="Aptos Narrow"/>
      <family val="2"/>
      <scheme val="minor"/>
    </font>
    <font>
      <b/>
      <sz val="12"/>
      <color rgb="FFFFFFFF"/>
      <name val="Aptos Narrow"/>
      <family val="2"/>
      <scheme val="minor"/>
    </font>
    <font>
      <b/>
      <sz val="11"/>
      <color theme="1"/>
      <name val="Aptos Narrow"/>
      <family val="2"/>
      <scheme val="minor"/>
    </font>
    <font>
      <b/>
      <sz val="12"/>
      <color theme="0"/>
      <name val="Aptos Narrow"/>
      <family val="2"/>
      <scheme val="minor"/>
    </font>
    <font>
      <b/>
      <sz val="16"/>
      <color theme="0"/>
      <name val="Aptos Narrow"/>
      <family val="2"/>
      <scheme val="minor"/>
    </font>
    <font>
      <b/>
      <sz val="11"/>
      <color rgb="FF000000"/>
      <name val="Aptos Narrow"/>
      <family val="2"/>
      <scheme val="minor"/>
    </font>
    <font>
      <sz val="11"/>
      <color rgb="FF000000"/>
      <name val="Aptos Narrow"/>
      <family val="2"/>
    </font>
    <font>
      <sz val="12"/>
      <color theme="1"/>
      <name val="Aptos Narrow"/>
      <family val="2"/>
      <charset val="1"/>
    </font>
    <font>
      <b/>
      <sz val="12"/>
      <color rgb="FFFFFFFF"/>
      <name val="Aptos Narrow"/>
      <family val="2"/>
      <scheme val="minor"/>
    </font>
    <font>
      <b/>
      <sz val="11"/>
      <color rgb="FF000000"/>
      <name val="Aptos Narrow"/>
      <family val="2"/>
      <scheme val="minor"/>
    </font>
    <font>
      <sz val="11"/>
      <color rgb="FF000000"/>
      <name val="Aptos Narrow"/>
      <family val="2"/>
      <scheme val="minor"/>
    </font>
    <font>
      <sz val="11"/>
      <color rgb="FF0F141A"/>
      <name val="Aptos Narrow"/>
      <family val="2"/>
      <scheme val="minor"/>
    </font>
    <font>
      <sz val="11"/>
      <color theme="1"/>
      <name val="Aptos Narrow"/>
      <family val="2"/>
      <scheme val="minor"/>
    </font>
    <font>
      <b/>
      <sz val="11"/>
      <color rgb="FFFFFFFF"/>
      <name val="Aptos Narrow"/>
      <family val="2"/>
      <scheme val="minor"/>
    </font>
    <font>
      <sz val="11"/>
      <color rgb="FF242424"/>
      <name val="Aptos Narrow"/>
      <family val="2"/>
      <scheme val="minor"/>
    </font>
    <font>
      <sz val="11"/>
      <color rgb="FF000000"/>
      <name val="Calibri"/>
      <family val="2"/>
    </font>
    <font>
      <b/>
      <sz val="22"/>
      <color rgb="FFFFFFFF"/>
      <name val="Aptos Narrow"/>
      <family val="2"/>
      <scheme val="minor"/>
    </font>
    <font>
      <b/>
      <sz val="14"/>
      <color rgb="FFFFFFFF"/>
      <name val="Aptos Narrow"/>
      <family val="2"/>
      <scheme val="minor"/>
    </font>
    <font>
      <b/>
      <sz val="14"/>
      <color rgb="FFEEEEEE"/>
      <name val="Aptos Narrow"/>
      <family val="2"/>
      <scheme val="minor"/>
    </font>
    <font>
      <b/>
      <sz val="11"/>
      <name val="Aptos Narrow"/>
      <family val="2"/>
      <scheme val="minor"/>
    </font>
    <font>
      <b/>
      <sz val="16"/>
      <color rgb="FFFFFFFF"/>
      <name val="Aptos Narrow"/>
      <family val="2"/>
      <scheme val="minor"/>
    </font>
    <font>
      <b/>
      <sz val="11"/>
      <color theme="1"/>
      <name val="Aptos Narrow"/>
      <family val="2"/>
      <charset val="1"/>
    </font>
    <font>
      <b/>
      <sz val="12"/>
      <name val="Aptos Narrow"/>
      <family val="2"/>
      <scheme val="minor"/>
    </font>
    <font>
      <sz val="12"/>
      <color theme="1"/>
      <name val="Aptos Narrow"/>
      <family val="2"/>
      <scheme val="minor"/>
    </font>
    <font>
      <sz val="12"/>
      <color rgb="FF000000"/>
      <name val="Aptos Narrow"/>
      <family val="2"/>
      <scheme val="minor"/>
    </font>
    <font>
      <sz val="11"/>
      <color rgb="FF000000"/>
      <name val="Aptos Narrow"/>
      <family val="2"/>
    </font>
    <font>
      <b/>
      <sz val="11"/>
      <color rgb="FF000000"/>
      <name val="Aptos Narrow"/>
      <family val="2"/>
    </font>
    <font>
      <b/>
      <sz val="12"/>
      <color theme="1"/>
      <name val="Aptos Narrow"/>
      <family val="2"/>
      <charset val="1"/>
    </font>
    <font>
      <b/>
      <sz val="12"/>
      <color theme="1"/>
      <name val="Aptos Narrow"/>
      <family val="2"/>
      <scheme val="minor"/>
    </font>
    <font>
      <b/>
      <sz val="11"/>
      <color theme="1"/>
      <name val="Aptos Narrow"/>
      <family val="2"/>
      <scheme val="minor"/>
    </font>
  </fonts>
  <fills count="20">
    <fill>
      <patternFill patternType="none"/>
    </fill>
    <fill>
      <patternFill patternType="gray125"/>
    </fill>
    <fill>
      <patternFill patternType="solid">
        <fgColor rgb="FF366092"/>
        <bgColor rgb="FF333399"/>
      </patternFill>
    </fill>
    <fill>
      <patternFill patternType="solid">
        <fgColor rgb="FF861141"/>
        <bgColor rgb="FF800080"/>
      </patternFill>
    </fill>
    <fill>
      <patternFill patternType="solid">
        <fgColor rgb="FFFF0000"/>
        <bgColor rgb="FF993300"/>
      </patternFill>
    </fill>
    <fill>
      <patternFill patternType="solid">
        <fgColor rgb="FFFFA500"/>
        <bgColor rgb="FFFFCC00"/>
      </patternFill>
    </fill>
    <fill>
      <patternFill patternType="solid">
        <fgColor rgb="FFFFFF00"/>
        <bgColor rgb="FFFFFF00"/>
      </patternFill>
    </fill>
    <fill>
      <patternFill patternType="solid">
        <fgColor rgb="FF366092"/>
        <bgColor rgb="FF366092"/>
      </patternFill>
    </fill>
    <fill>
      <patternFill patternType="solid">
        <fgColor theme="3" tint="0.249977111117893"/>
        <bgColor indexed="64"/>
      </patternFill>
    </fill>
    <fill>
      <patternFill patternType="solid">
        <fgColor rgb="FFFF0000"/>
        <bgColor rgb="FFFF0000"/>
      </patternFill>
    </fill>
    <fill>
      <patternFill patternType="solid">
        <fgColor rgb="FFFFA500"/>
        <bgColor rgb="FFFFA500"/>
      </patternFill>
    </fill>
    <fill>
      <patternFill patternType="solid">
        <fgColor rgb="FF90EE90"/>
        <bgColor rgb="FF90EE90"/>
      </patternFill>
    </fill>
    <fill>
      <patternFill patternType="solid">
        <fgColor rgb="FFC0E6F5"/>
        <bgColor rgb="FFC0E6F5"/>
      </patternFill>
    </fill>
    <fill>
      <patternFill patternType="solid">
        <fgColor rgb="FFFFC00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bgColor indexed="64"/>
      </patternFill>
    </fill>
    <fill>
      <patternFill patternType="solid">
        <fgColor rgb="FFC1F0C8"/>
        <bgColor rgb="FF000000"/>
      </patternFill>
    </fill>
    <fill>
      <patternFill patternType="solid">
        <fgColor theme="4" tint="0.79998168889431442"/>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medium">
        <color rgb="FF000000"/>
      </bottom>
      <diagonal/>
    </border>
    <border>
      <left style="thin">
        <color rgb="FF44B3E1"/>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44B3E1"/>
      </left>
      <right/>
      <top/>
      <bottom style="thin">
        <color rgb="FF44B3E1"/>
      </bottom>
      <diagonal/>
    </border>
    <border>
      <left/>
      <right style="thin">
        <color rgb="FF44B3E1"/>
      </right>
      <top/>
      <bottom style="thin">
        <color rgb="FF44B3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s>
  <cellStyleXfs count="1">
    <xf numFmtId="0" fontId="0" fillId="0" borderId="0"/>
  </cellStyleXfs>
  <cellXfs count="284">
    <xf numFmtId="0" fontId="0" fillId="0" borderId="0" xfId="0"/>
    <xf numFmtId="0" fontId="0" fillId="0" borderId="0" xfId="0" applyAlignment="1">
      <alignment vertical="center" wrapText="1"/>
    </xf>
    <xf numFmtId="0" fontId="0" fillId="0" borderId="0" xfId="0" applyAlignment="1">
      <alignment horizontal="left" vertical="center" wrapText="1"/>
    </xf>
    <xf numFmtId="0" fontId="4"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2" xfId="0" applyFont="1" applyBorder="1" applyAlignment="1">
      <alignment horizontal="left" vertical="center" wrapText="1"/>
    </xf>
    <xf numFmtId="0" fontId="3" fillId="8" borderId="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0" fillId="0" borderId="2" xfId="0" applyBorder="1" applyAlignment="1">
      <alignment horizontal="left" vertical="center" wrapText="1"/>
    </xf>
    <xf numFmtId="0" fontId="9" fillId="0" borderId="2" xfId="0" applyFont="1" applyBorder="1" applyAlignment="1">
      <alignment vertical="center" wrapText="1"/>
    </xf>
    <xf numFmtId="0" fontId="9" fillId="0" borderId="6" xfId="0" applyFont="1" applyBorder="1" applyAlignment="1">
      <alignment vertical="center" wrapText="1"/>
    </xf>
    <xf numFmtId="0" fontId="0" fillId="0" borderId="7" xfId="0" applyBorder="1" applyAlignment="1">
      <alignment horizontal="left" vertical="center" wrapText="1"/>
    </xf>
    <xf numFmtId="0" fontId="0" fillId="0" borderId="1" xfId="0" applyBorder="1" applyAlignment="1">
      <alignment horizontal="center" wrapText="1"/>
    </xf>
    <xf numFmtId="0" fontId="0" fillId="0" borderId="0" xfId="0" applyAlignment="1">
      <alignment horizontal="left" wrapText="1"/>
    </xf>
    <xf numFmtId="165" fontId="0" fillId="0" borderId="2" xfId="0" applyNumberFormat="1" applyBorder="1" applyAlignment="1">
      <alignment horizontal="center" vertical="center" wrapText="1"/>
    </xf>
    <xf numFmtId="0" fontId="3" fillId="2" borderId="8" xfId="0" applyFont="1" applyFill="1" applyBorder="1" applyAlignment="1">
      <alignment vertical="center" wrapText="1"/>
    </xf>
    <xf numFmtId="0" fontId="8" fillId="4" borderId="8"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14" fillId="16" borderId="1" xfId="0" applyFont="1" applyFill="1" applyBorder="1" applyAlignment="1">
      <alignment horizontal="center"/>
    </xf>
    <xf numFmtId="0" fontId="15" fillId="13" borderId="1" xfId="0" applyFont="1" applyFill="1" applyBorder="1" applyAlignment="1">
      <alignment horizontal="center"/>
    </xf>
    <xf numFmtId="0" fontId="16" fillId="14" borderId="1" xfId="0" applyFont="1" applyFill="1" applyBorder="1" applyAlignment="1">
      <alignment horizontal="center"/>
    </xf>
    <xf numFmtId="0" fontId="17" fillId="15" borderId="1" xfId="0" applyFont="1" applyFill="1" applyBorder="1" applyAlignment="1">
      <alignment horizontal="center"/>
    </xf>
    <xf numFmtId="0" fontId="18" fillId="0" borderId="1" xfId="0" applyFont="1" applyBorder="1" applyAlignment="1">
      <alignment horizontal="center"/>
    </xf>
    <xf numFmtId="0" fontId="19" fillId="15" borderId="1" xfId="0" applyFont="1" applyFill="1" applyBorder="1" applyAlignment="1">
      <alignment horizontal="center" wrapText="1"/>
    </xf>
    <xf numFmtId="0" fontId="20" fillId="15" borderId="1" xfId="0" applyFont="1" applyFill="1" applyBorder="1" applyAlignment="1">
      <alignment horizontal="center"/>
    </xf>
    <xf numFmtId="0" fontId="14" fillId="16" borderId="3" xfId="0" applyFont="1" applyFill="1" applyBorder="1" applyAlignment="1">
      <alignment horizontal="center"/>
    </xf>
    <xf numFmtId="0" fontId="15" fillId="13" borderId="3" xfId="0" applyFont="1" applyFill="1" applyBorder="1" applyAlignment="1">
      <alignment horizontal="center"/>
    </xf>
    <xf numFmtId="0" fontId="16" fillId="14" borderId="3" xfId="0" applyFont="1" applyFill="1" applyBorder="1" applyAlignment="1">
      <alignment horizontal="center"/>
    </xf>
    <xf numFmtId="0" fontId="17" fillId="15" borderId="3" xfId="0" applyFont="1" applyFill="1" applyBorder="1" applyAlignment="1">
      <alignment horizontal="center"/>
    </xf>
    <xf numFmtId="0" fontId="18" fillId="0" borderId="3" xfId="0" applyFont="1" applyBorder="1" applyAlignment="1">
      <alignment horizontal="center"/>
    </xf>
    <xf numFmtId="0" fontId="14" fillId="16" borderId="10" xfId="0" applyFont="1" applyFill="1" applyBorder="1" applyAlignment="1">
      <alignment horizontal="center"/>
    </xf>
    <xf numFmtId="0" fontId="15" fillId="13" borderId="10" xfId="0" applyFont="1" applyFill="1" applyBorder="1" applyAlignment="1">
      <alignment horizontal="center"/>
    </xf>
    <xf numFmtId="0" fontId="16" fillId="14" borderId="10" xfId="0" applyFont="1" applyFill="1" applyBorder="1" applyAlignment="1">
      <alignment horizontal="center"/>
    </xf>
    <xf numFmtId="0" fontId="17" fillId="15" borderId="10" xfId="0" applyFont="1" applyFill="1" applyBorder="1" applyAlignment="1">
      <alignment horizontal="center"/>
    </xf>
    <xf numFmtId="0" fontId="14" fillId="16" borderId="11" xfId="0" applyFont="1" applyFill="1" applyBorder="1" applyAlignment="1">
      <alignment horizontal="center"/>
    </xf>
    <xf numFmtId="0" fontId="15" fillId="13" borderId="11" xfId="0" applyFont="1" applyFill="1" applyBorder="1" applyAlignment="1">
      <alignment horizontal="center"/>
    </xf>
    <xf numFmtId="0" fontId="16" fillId="14" borderId="11" xfId="0" applyFont="1" applyFill="1" applyBorder="1" applyAlignment="1">
      <alignment horizontal="center"/>
    </xf>
    <xf numFmtId="0" fontId="17" fillId="15" borderId="11" xfId="0" applyFont="1" applyFill="1" applyBorder="1" applyAlignment="1">
      <alignment horizontal="center"/>
    </xf>
    <xf numFmtId="0" fontId="18" fillId="0" borderId="11" xfId="0" applyFont="1" applyBorder="1" applyAlignment="1">
      <alignment horizontal="center"/>
    </xf>
    <xf numFmtId="0" fontId="21" fillId="8" borderId="1" xfId="0" applyFont="1" applyFill="1" applyBorder="1" applyAlignment="1">
      <alignment horizontal="center" vertical="center" wrapText="1"/>
    </xf>
    <xf numFmtId="0" fontId="12" fillId="8" borderId="14" xfId="0" applyFont="1" applyFill="1" applyBorder="1" applyAlignment="1">
      <alignment horizontal="center"/>
    </xf>
    <xf numFmtId="0" fontId="12" fillId="8" borderId="15" xfId="0" applyFont="1" applyFill="1" applyBorder="1" applyAlignment="1">
      <alignment horizontal="center"/>
    </xf>
    <xf numFmtId="0" fontId="11" fillId="12" borderId="12" xfId="0" applyFont="1" applyFill="1" applyBorder="1" applyAlignment="1">
      <alignment horizontal="center"/>
    </xf>
    <xf numFmtId="0" fontId="11" fillId="12" borderId="13" xfId="0" applyFont="1" applyFill="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xf numFmtId="0" fontId="0" fillId="0" borderId="0" xfId="0" applyAlignment="1">
      <alignment horizontal="center"/>
    </xf>
    <xf numFmtId="0" fontId="3" fillId="8" borderId="1" xfId="0" applyFont="1" applyFill="1" applyBorder="1" applyAlignment="1">
      <alignment horizontal="center" vertical="center" wrapText="1"/>
    </xf>
    <xf numFmtId="0" fontId="18" fillId="0" borderId="10" xfId="0" applyFont="1" applyBorder="1" applyAlignment="1">
      <alignment horizontal="center" wrapText="1"/>
    </xf>
    <xf numFmtId="0" fontId="0" fillId="0" borderId="0" xfId="0" applyAlignment="1">
      <alignment horizontal="center" vertical="center" wrapText="1"/>
    </xf>
    <xf numFmtId="14" fontId="2" fillId="0" borderId="1" xfId="0" applyNumberFormat="1" applyFont="1" applyBorder="1" applyAlignment="1">
      <alignment horizontal="left" vertical="center" wrapText="1"/>
    </xf>
    <xf numFmtId="0" fontId="0" fillId="0" borderId="0" xfId="0" applyAlignment="1">
      <alignment wrapText="1"/>
    </xf>
    <xf numFmtId="0" fontId="23" fillId="8" borderId="1" xfId="0" applyFont="1" applyFill="1" applyBorder="1" applyAlignment="1">
      <alignment horizontal="center" wrapText="1"/>
    </xf>
    <xf numFmtId="0" fontId="22" fillId="0" borderId="1" xfId="0" applyFont="1" applyBorder="1" applyAlignment="1">
      <alignment vertical="center" wrapText="1"/>
    </xf>
    <xf numFmtId="0" fontId="25" fillId="0" borderId="1" xfId="0" applyFont="1" applyBorder="1" applyAlignment="1">
      <alignment horizontal="center" wrapText="1"/>
    </xf>
    <xf numFmtId="0" fontId="25" fillId="0" borderId="3" xfId="0" applyFont="1" applyBorder="1" applyAlignment="1">
      <alignment horizontal="center" wrapText="1"/>
    </xf>
    <xf numFmtId="0" fontId="25" fillId="0" borderId="10" xfId="0" applyFont="1" applyBorder="1" applyAlignment="1">
      <alignment horizontal="center" wrapText="1"/>
    </xf>
    <xf numFmtId="0" fontId="25" fillId="0" borderId="11" xfId="0" applyFont="1" applyBorder="1" applyAlignment="1">
      <alignment horizontal="center" wrapText="1"/>
    </xf>
    <xf numFmtId="0" fontId="1" fillId="0" borderId="1" xfId="0" applyFont="1" applyBorder="1" applyAlignment="1">
      <alignment horizontal="center" vertical="center" wrapText="1"/>
    </xf>
    <xf numFmtId="0" fontId="33" fillId="9" borderId="1" xfId="0" applyFont="1" applyFill="1" applyBorder="1" applyAlignment="1">
      <alignment horizontal="center" vertical="center" wrapText="1"/>
    </xf>
    <xf numFmtId="0" fontId="32" fillId="0" borderId="0" xfId="0" applyFont="1" applyAlignment="1">
      <alignment vertical="center" wrapText="1"/>
    </xf>
    <xf numFmtId="0" fontId="27" fillId="0" borderId="0" xfId="0" applyFont="1" applyAlignment="1">
      <alignment vertical="center" wrapText="1"/>
    </xf>
    <xf numFmtId="0" fontId="32" fillId="0" borderId="1" xfId="0" applyFont="1" applyBorder="1" applyAlignment="1">
      <alignment horizontal="center" vertical="center" wrapText="1"/>
    </xf>
    <xf numFmtId="0" fontId="37" fillId="2" borderId="1"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37" fillId="8" borderId="1" xfId="0" applyFont="1" applyFill="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vertical="center" wrapText="1"/>
    </xf>
    <xf numFmtId="14" fontId="30" fillId="0" borderId="1" xfId="0" applyNumberFormat="1" applyFont="1" applyBorder="1" applyAlignment="1">
      <alignment horizontal="center" vertical="center" wrapText="1"/>
    </xf>
    <xf numFmtId="0" fontId="32" fillId="0" borderId="1" xfId="0" applyFont="1" applyBorder="1" applyAlignment="1">
      <alignment vertical="center" wrapText="1"/>
    </xf>
    <xf numFmtId="0" fontId="39" fillId="10" borderId="1" xfId="0" applyFont="1" applyFill="1" applyBorder="1" applyAlignment="1">
      <alignment horizontal="center" vertical="center" wrapText="1"/>
    </xf>
    <xf numFmtId="0" fontId="39" fillId="6" borderId="1" xfId="0" applyFont="1" applyFill="1" applyBorder="1" applyAlignment="1">
      <alignment horizontal="center" vertical="center" wrapText="1"/>
    </xf>
    <xf numFmtId="0" fontId="39" fillId="11"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35" fillId="0" borderId="1" xfId="0" applyFont="1" applyBorder="1" applyAlignment="1">
      <alignment vertical="center" wrapText="1"/>
    </xf>
    <xf numFmtId="14" fontId="35" fillId="0" borderId="1" xfId="0" applyNumberFormat="1" applyFont="1" applyBorder="1" applyAlignment="1">
      <alignment horizontal="center" vertical="center" wrapText="1"/>
    </xf>
    <xf numFmtId="0" fontId="28" fillId="8" borderId="1" xfId="0" applyFont="1" applyFill="1" applyBorder="1" applyAlignment="1">
      <alignment horizontal="center" vertical="center" wrapText="1"/>
    </xf>
    <xf numFmtId="0" fontId="6" fillId="0" borderId="0" xfId="0" applyFont="1" applyAlignment="1">
      <alignment wrapText="1"/>
    </xf>
    <xf numFmtId="0" fontId="0" fillId="0" borderId="1" xfId="0" applyBorder="1" applyAlignment="1">
      <alignment wrapText="1"/>
    </xf>
    <xf numFmtId="0" fontId="29" fillId="0" borderId="1" xfId="0" applyFont="1" applyBorder="1" applyAlignment="1">
      <alignment horizontal="center" wrapText="1"/>
    </xf>
    <xf numFmtId="0" fontId="29" fillId="0" borderId="10" xfId="0" applyFont="1" applyBorder="1" applyAlignment="1">
      <alignment horizont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41" fillId="0" borderId="1" xfId="0" applyFont="1" applyBorder="1" applyAlignment="1">
      <alignment horizontal="center" vertical="center"/>
    </xf>
    <xf numFmtId="0" fontId="0" fillId="17" borderId="0" xfId="0" applyFill="1" applyAlignment="1">
      <alignment horizontal="center" vertical="center"/>
    </xf>
    <xf numFmtId="0" fontId="29" fillId="0" borderId="4" xfId="0" applyFont="1" applyBorder="1" applyAlignment="1">
      <alignment horizontal="center" wrapText="1"/>
    </xf>
    <xf numFmtId="0" fontId="0" fillId="16" borderId="1" xfId="0" applyFill="1" applyBorder="1" applyAlignment="1">
      <alignment horizontal="center" vertical="center"/>
    </xf>
    <xf numFmtId="0" fontId="0" fillId="16" borderId="10" xfId="0" applyFill="1" applyBorder="1" applyAlignment="1">
      <alignment horizontal="center" vertical="center"/>
    </xf>
    <xf numFmtId="0" fontId="0" fillId="16" borderId="4" xfId="0" applyFill="1" applyBorder="1" applyAlignment="1">
      <alignment horizontal="center" vertical="center"/>
    </xf>
    <xf numFmtId="0" fontId="0" fillId="13" borderId="1" xfId="0" applyFill="1" applyBorder="1" applyAlignment="1">
      <alignment horizontal="center" vertical="center"/>
    </xf>
    <xf numFmtId="0" fontId="0" fillId="13" borderId="10" xfId="0" applyFill="1" applyBorder="1" applyAlignment="1">
      <alignment horizontal="center" vertical="center"/>
    </xf>
    <xf numFmtId="0" fontId="0" fillId="13" borderId="4" xfId="0" applyFill="1" applyBorder="1" applyAlignment="1">
      <alignment horizontal="center" vertical="center"/>
    </xf>
    <xf numFmtId="0" fontId="0" fillId="14" borderId="1" xfId="0" applyFill="1" applyBorder="1" applyAlignment="1">
      <alignment horizontal="center" vertical="center"/>
    </xf>
    <xf numFmtId="0" fontId="0" fillId="14" borderId="10" xfId="0" applyFill="1" applyBorder="1" applyAlignment="1">
      <alignment horizontal="center" vertical="center"/>
    </xf>
    <xf numFmtId="0" fontId="0" fillId="14" borderId="4" xfId="0" applyFill="1" applyBorder="1" applyAlignment="1">
      <alignment horizontal="center" vertical="center"/>
    </xf>
    <xf numFmtId="0" fontId="0" fillId="15" borderId="1" xfId="0" applyFill="1" applyBorder="1" applyAlignment="1">
      <alignment horizontal="center" vertical="center"/>
    </xf>
    <xf numFmtId="0" fontId="0" fillId="15" borderId="10" xfId="0" applyFill="1" applyBorder="1" applyAlignment="1">
      <alignment horizontal="center" vertical="center"/>
    </xf>
    <xf numFmtId="0" fontId="0" fillId="15" borderId="4" xfId="0" applyFill="1" applyBorder="1" applyAlignment="1">
      <alignment horizontal="center" vertical="center"/>
    </xf>
    <xf numFmtId="0" fontId="28" fillId="8" borderId="3"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164" fontId="1" fillId="0" borderId="1" xfId="0" applyNumberFormat="1" applyFont="1" applyBorder="1" applyAlignment="1">
      <alignment horizontal="left" vertical="center" wrapText="1"/>
    </xf>
    <xf numFmtId="165" fontId="1" fillId="0" borderId="1" xfId="0" applyNumberFormat="1" applyFont="1" applyBorder="1" applyAlignment="1">
      <alignment horizontal="left" vertical="center" wrapText="1"/>
    </xf>
    <xf numFmtId="14" fontId="1" fillId="0" borderId="1" xfId="0" applyNumberFormat="1" applyFont="1" applyBorder="1" applyAlignment="1">
      <alignment horizontal="left" vertical="center" wrapText="1"/>
    </xf>
    <xf numFmtId="0" fontId="1" fillId="0" borderId="0" xfId="0" applyFont="1" applyAlignment="1">
      <alignment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0" fillId="0" borderId="0" xfId="0" applyAlignment="1">
      <alignment horizontal="center" wrapText="1"/>
    </xf>
    <xf numFmtId="164" fontId="32" fillId="0" borderId="1" xfId="0" applyNumberFormat="1" applyFont="1" applyBorder="1" applyAlignment="1">
      <alignment horizontal="center" vertical="center" wrapText="1"/>
    </xf>
    <xf numFmtId="0" fontId="30" fillId="17" borderId="1" xfId="0" applyFont="1" applyFill="1" applyBorder="1" applyAlignment="1">
      <alignment vertical="center" wrapText="1"/>
    </xf>
    <xf numFmtId="0" fontId="32" fillId="17" borderId="1" xfId="0" applyFont="1" applyFill="1" applyBorder="1" applyAlignment="1">
      <alignment vertical="center" wrapText="1"/>
    </xf>
    <xf numFmtId="0" fontId="32" fillId="17" borderId="0" xfId="0" applyFont="1" applyFill="1" applyAlignment="1">
      <alignment vertical="center" wrapText="1"/>
    </xf>
    <xf numFmtId="0" fontId="11" fillId="0" borderId="0" xfId="0" applyFont="1" applyAlignment="1">
      <alignment horizontal="center" vertical="center"/>
    </xf>
    <xf numFmtId="0" fontId="32" fillId="0" borderId="1" xfId="0" applyFont="1" applyBorder="1" applyAlignment="1">
      <alignment horizontal="left" vertical="center" wrapText="1"/>
    </xf>
    <xf numFmtId="0" fontId="30" fillId="17" borderId="8" xfId="0" applyFont="1" applyFill="1" applyBorder="1" applyAlignment="1">
      <alignment horizontal="center" vertical="center" wrapText="1"/>
    </xf>
    <xf numFmtId="0" fontId="45" fillId="0" borderId="1" xfId="0" applyFont="1" applyBorder="1" applyAlignment="1">
      <alignment vertical="center" wrapText="1"/>
    </xf>
    <xf numFmtId="0" fontId="46" fillId="9" borderId="1" xfId="0" applyFont="1" applyFill="1" applyBorder="1" applyAlignment="1">
      <alignment horizontal="center" vertical="center" wrapText="1"/>
    </xf>
    <xf numFmtId="0" fontId="46" fillId="10" borderId="1" xfId="0" applyFont="1" applyFill="1" applyBorder="1" applyAlignment="1">
      <alignment horizontal="center" vertical="center" wrapText="1"/>
    </xf>
    <xf numFmtId="0" fontId="46" fillId="6" borderId="1" xfId="0" applyFont="1" applyFill="1" applyBorder="1" applyAlignment="1">
      <alignment horizontal="center" vertical="center" wrapText="1"/>
    </xf>
    <xf numFmtId="0" fontId="46" fillId="11" borderId="1" xfId="0" applyFont="1" applyFill="1" applyBorder="1" applyAlignment="1">
      <alignment horizontal="center" vertical="center" wrapText="1"/>
    </xf>
    <xf numFmtId="0" fontId="37" fillId="2" borderId="1" xfId="0" applyFont="1" applyFill="1" applyBorder="1" applyAlignment="1">
      <alignment vertical="center" wrapText="1"/>
    </xf>
    <xf numFmtId="0" fontId="0" fillId="0" borderId="8" xfId="0" applyBorder="1" applyAlignment="1">
      <alignment wrapText="1"/>
    </xf>
    <xf numFmtId="0" fontId="0" fillId="17" borderId="0" xfId="0" applyFill="1" applyAlignment="1">
      <alignment vertical="center" wrapText="1"/>
    </xf>
    <xf numFmtId="14" fontId="30" fillId="17" borderId="1" xfId="0" applyNumberFormat="1" applyFont="1" applyFill="1" applyBorder="1" applyAlignment="1">
      <alignment horizontal="center" vertical="center" wrapText="1"/>
    </xf>
    <xf numFmtId="0" fontId="0" fillId="17" borderId="0" xfId="0" applyFill="1" applyAlignment="1">
      <alignment wrapText="1"/>
    </xf>
    <xf numFmtId="0" fontId="0" fillId="0" borderId="1" xfId="0" applyBorder="1" applyAlignment="1">
      <alignment vertical="center" wrapText="1"/>
    </xf>
    <xf numFmtId="0" fontId="45" fillId="0" borderId="1" xfId="0" applyFont="1" applyBorder="1" applyAlignment="1">
      <alignment horizontal="center" vertical="center" wrapText="1"/>
    </xf>
    <xf numFmtId="0" fontId="30" fillId="17"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32" fillId="0" borderId="8" xfId="0" applyFont="1" applyBorder="1" applyAlignment="1">
      <alignment vertical="center" wrapText="1"/>
    </xf>
    <xf numFmtId="14" fontId="0" fillId="0" borderId="1" xfId="0" applyNumberFormat="1" applyBorder="1" applyAlignment="1">
      <alignment vertical="center" wrapText="1"/>
    </xf>
    <xf numFmtId="14" fontId="0" fillId="0" borderId="1" xfId="0" applyNumberFormat="1" applyBorder="1" applyAlignment="1">
      <alignment horizontal="center" vertical="center" wrapText="1"/>
    </xf>
    <xf numFmtId="0" fontId="45" fillId="0" borderId="4" xfId="0" applyFont="1" applyBorder="1" applyAlignment="1">
      <alignment horizontal="center" vertical="center" wrapText="1"/>
    </xf>
    <xf numFmtId="0" fontId="27" fillId="0" borderId="1" xfId="0" applyFont="1" applyBorder="1" applyAlignment="1">
      <alignment vertical="center" wrapText="1"/>
    </xf>
    <xf numFmtId="0" fontId="31" fillId="0" borderId="1" xfId="0" applyFont="1" applyBorder="1" applyAlignment="1">
      <alignment vertical="center" wrapText="1"/>
    </xf>
    <xf numFmtId="0" fontId="34" fillId="0" borderId="1" xfId="0" applyFont="1" applyBorder="1" applyAlignment="1">
      <alignment vertical="center" wrapText="1"/>
    </xf>
    <xf numFmtId="0" fontId="44" fillId="0" borderId="1" xfId="0" applyFont="1" applyBorder="1" applyAlignment="1">
      <alignment vertical="center" wrapText="1"/>
    </xf>
    <xf numFmtId="0" fontId="42" fillId="10" borderId="1" xfId="0" applyFont="1" applyFill="1" applyBorder="1" applyAlignment="1">
      <alignment horizontal="center" vertical="center" wrapText="1"/>
    </xf>
    <xf numFmtId="0" fontId="43" fillId="0" borderId="1" xfId="0" applyFont="1" applyBorder="1" applyAlignment="1">
      <alignment horizontal="center" vertical="center" wrapText="1"/>
    </xf>
    <xf numFmtId="0" fontId="45" fillId="0" borderId="16" xfId="0" applyFont="1" applyBorder="1" applyAlignment="1">
      <alignment wrapText="1"/>
    </xf>
    <xf numFmtId="0" fontId="45" fillId="0" borderId="17" xfId="0" applyFont="1" applyBorder="1" applyAlignment="1">
      <alignment wrapText="1"/>
    </xf>
    <xf numFmtId="0" fontId="45" fillId="0" borderId="17" xfId="0" applyFont="1" applyBorder="1" applyAlignment="1">
      <alignment vertical="center" wrapText="1"/>
    </xf>
    <xf numFmtId="0" fontId="45" fillId="0" borderId="16" xfId="0" applyFont="1" applyBorder="1" applyAlignment="1">
      <alignment vertical="center" wrapText="1"/>
    </xf>
    <xf numFmtId="0" fontId="43" fillId="0" borderId="1" xfId="0" applyFont="1" applyBorder="1" applyAlignment="1">
      <alignment vertical="center" wrapText="1"/>
    </xf>
    <xf numFmtId="14" fontId="43" fillId="0" borderId="1" xfId="0" applyNumberFormat="1" applyFont="1" applyBorder="1" applyAlignment="1">
      <alignment vertical="center" wrapText="1"/>
    </xf>
    <xf numFmtId="14" fontId="44" fillId="0" borderId="1" xfId="0" applyNumberFormat="1" applyFont="1" applyBorder="1" applyAlignment="1">
      <alignment vertical="center" wrapText="1"/>
    </xf>
    <xf numFmtId="0" fontId="44" fillId="0" borderId="1" xfId="0" applyFont="1" applyBorder="1" applyAlignment="1">
      <alignment horizontal="center" vertical="center" wrapText="1"/>
    </xf>
    <xf numFmtId="8" fontId="43" fillId="0" borderId="1" xfId="0" applyNumberFormat="1" applyFont="1" applyBorder="1" applyAlignment="1">
      <alignment horizontal="center" vertical="center" wrapText="1"/>
    </xf>
    <xf numFmtId="8" fontId="31" fillId="0" borderId="1" xfId="0" applyNumberFormat="1" applyFont="1" applyBorder="1" applyAlignment="1">
      <alignment horizontal="center" vertical="center" wrapText="1"/>
    </xf>
    <xf numFmtId="0" fontId="30" fillId="0" borderId="1" xfId="0" applyFont="1" applyBorder="1" applyAlignment="1">
      <alignment horizontal="left" vertical="center" wrapText="1"/>
    </xf>
    <xf numFmtId="1" fontId="32" fillId="0" borderId="1" xfId="0" applyNumberFormat="1" applyFont="1" applyBorder="1" applyAlignment="1">
      <alignment horizontal="center" vertical="center" wrapText="1"/>
    </xf>
    <xf numFmtId="166" fontId="0" fillId="0" borderId="0" xfId="0" applyNumberFormat="1" applyAlignment="1">
      <alignment horizontal="left" vertical="center" wrapText="1"/>
    </xf>
    <xf numFmtId="1" fontId="37" fillId="2" borderId="1" xfId="0" applyNumberFormat="1" applyFont="1" applyFill="1" applyBorder="1" applyAlignment="1">
      <alignment horizontal="center" vertical="center" wrapText="1"/>
    </xf>
    <xf numFmtId="1" fontId="0" fillId="0" borderId="0" xfId="0" applyNumberFormat="1" applyAlignment="1">
      <alignment horizontal="left" vertical="center" wrapText="1"/>
    </xf>
    <xf numFmtId="166" fontId="3" fillId="2" borderId="1" xfId="0" applyNumberFormat="1" applyFont="1" applyFill="1" applyBorder="1" applyAlignment="1">
      <alignment horizontal="center" vertical="center" wrapText="1"/>
    </xf>
    <xf numFmtId="166" fontId="1" fillId="0" borderId="1" xfId="0" applyNumberFormat="1" applyFont="1" applyBorder="1" applyAlignment="1">
      <alignment horizontal="left" vertical="center" wrapText="1"/>
    </xf>
    <xf numFmtId="166" fontId="2" fillId="0" borderId="1" xfId="0" applyNumberFormat="1" applyFont="1" applyBorder="1" applyAlignment="1">
      <alignment horizontal="left" vertical="center" wrapText="1"/>
    </xf>
    <xf numFmtId="0" fontId="41" fillId="0" borderId="0" xfId="0" applyFont="1" applyAlignment="1">
      <alignment horizontal="center" vertical="center"/>
    </xf>
    <xf numFmtId="0" fontId="41" fillId="0" borderId="0" xfId="0" applyFont="1" applyAlignment="1">
      <alignment horizontal="center" vertical="center" wrapText="1"/>
    </xf>
    <xf numFmtId="0" fontId="0" fillId="0" borderId="0" xfId="0" applyAlignment="1">
      <alignment vertical="center"/>
    </xf>
    <xf numFmtId="0" fontId="26" fillId="0" borderId="0" xfId="0" applyFont="1" applyAlignment="1">
      <alignment horizontal="left" vertical="center" wrapText="1"/>
    </xf>
    <xf numFmtId="0" fontId="26" fillId="0" borderId="0" xfId="0" applyFont="1" applyAlignment="1">
      <alignment vertical="center" wrapText="1"/>
    </xf>
    <xf numFmtId="0" fontId="9" fillId="0" borderId="1" xfId="0" applyFont="1" applyBorder="1" applyAlignment="1">
      <alignment vertical="center" wrapText="1"/>
    </xf>
    <xf numFmtId="1" fontId="32" fillId="0" borderId="19" xfId="0" applyNumberFormat="1" applyFont="1" applyBorder="1" applyAlignment="1">
      <alignment horizontal="center" vertical="center" wrapText="1"/>
    </xf>
    <xf numFmtId="0" fontId="32" fillId="0" borderId="20" xfId="0" applyFont="1" applyBorder="1" applyAlignment="1">
      <alignment horizontal="center" vertical="center" wrapText="1"/>
    </xf>
    <xf numFmtId="0" fontId="30" fillId="0" borderId="22" xfId="0" applyFont="1" applyBorder="1" applyAlignment="1">
      <alignment horizontal="center" vertical="center"/>
    </xf>
    <xf numFmtId="0" fontId="32" fillId="0" borderId="22" xfId="0" applyFont="1" applyBorder="1" applyAlignment="1">
      <alignment horizontal="center" vertical="center" wrapText="1"/>
    </xf>
    <xf numFmtId="0" fontId="9" fillId="0" borderId="4" xfId="0" applyFont="1" applyBorder="1" applyAlignment="1">
      <alignment vertical="center" wrapText="1"/>
    </xf>
    <xf numFmtId="0" fontId="9" fillId="0" borderId="19" xfId="0" applyFont="1" applyBorder="1" applyAlignment="1">
      <alignment vertical="center" wrapText="1"/>
    </xf>
    <xf numFmtId="0" fontId="11" fillId="0" borderId="22" xfId="0" applyFont="1" applyBorder="1" applyAlignment="1">
      <alignment horizontal="center" vertical="center"/>
    </xf>
    <xf numFmtId="0" fontId="9" fillId="0" borderId="23" xfId="0" applyFont="1" applyBorder="1" applyAlignment="1">
      <alignment vertical="center" wrapText="1"/>
    </xf>
    <xf numFmtId="0" fontId="30" fillId="0" borderId="3" xfId="0" applyFont="1" applyBorder="1" applyAlignment="1">
      <alignment vertical="center" wrapText="1"/>
    </xf>
    <xf numFmtId="1" fontId="32" fillId="0" borderId="3" xfId="0" applyNumberFormat="1" applyFont="1" applyBorder="1" applyAlignment="1">
      <alignment horizontal="center" vertical="center" wrapText="1"/>
    </xf>
    <xf numFmtId="0" fontId="30" fillId="0" borderId="26" xfId="0" applyFont="1" applyBorder="1" applyAlignment="1">
      <alignment horizontal="center" vertical="center"/>
    </xf>
    <xf numFmtId="0" fontId="32" fillId="0" borderId="24" xfId="0" applyFont="1" applyBorder="1" applyAlignment="1">
      <alignment horizontal="center" vertical="center" wrapText="1"/>
    </xf>
    <xf numFmtId="0" fontId="9" fillId="0" borderId="3" xfId="0" applyFont="1" applyBorder="1" applyAlignment="1">
      <alignment vertical="center" wrapText="1"/>
    </xf>
    <xf numFmtId="0" fontId="11" fillId="0" borderId="26" xfId="0" applyFont="1" applyBorder="1" applyAlignment="1">
      <alignment horizontal="center" vertical="center"/>
    </xf>
    <xf numFmtId="0" fontId="11" fillId="0" borderId="20" xfId="0" applyFont="1" applyBorder="1" applyAlignment="1">
      <alignment horizontal="center" vertical="center"/>
    </xf>
    <xf numFmtId="0" fontId="0" fillId="0" borderId="24" xfId="0" applyBorder="1" applyAlignment="1">
      <alignment horizontal="left" vertical="center" wrapText="1"/>
    </xf>
    <xf numFmtId="0" fontId="32" fillId="0" borderId="26" xfId="0" applyFont="1" applyBorder="1" applyAlignment="1">
      <alignment horizontal="center" vertical="center" wrapText="1"/>
    </xf>
    <xf numFmtId="0" fontId="47" fillId="0" borderId="0" xfId="0" applyFont="1" applyAlignment="1">
      <alignment horizontal="center" vertical="center" wrapText="1"/>
    </xf>
    <xf numFmtId="1" fontId="0" fillId="0" borderId="4" xfId="0" applyNumberFormat="1" applyBorder="1" applyAlignment="1">
      <alignment horizontal="left" vertical="center" wrapText="1"/>
    </xf>
    <xf numFmtId="0" fontId="0" fillId="0" borderId="29" xfId="0" applyBorder="1" applyAlignment="1">
      <alignment horizontal="left" vertical="center" wrapText="1"/>
    </xf>
    <xf numFmtId="0" fontId="30" fillId="0" borderId="4" xfId="0" applyFont="1" applyBorder="1" applyAlignment="1">
      <alignment vertical="center" wrapText="1"/>
    </xf>
    <xf numFmtId="1" fontId="32" fillId="0" borderId="4" xfId="0" applyNumberFormat="1" applyFont="1" applyBorder="1" applyAlignment="1">
      <alignment horizontal="center" vertical="center" wrapText="1"/>
    </xf>
    <xf numFmtId="0" fontId="32" fillId="0" borderId="29" xfId="0" applyFont="1" applyBorder="1" applyAlignment="1">
      <alignment horizontal="center" vertical="center" wrapText="1"/>
    </xf>
    <xf numFmtId="0" fontId="37" fillId="2" borderId="32" xfId="0" applyFont="1" applyFill="1" applyBorder="1" applyAlignment="1">
      <alignment horizontal="center" vertical="center" wrapText="1"/>
    </xf>
    <xf numFmtId="0" fontId="37" fillId="2" borderId="33" xfId="0" applyFont="1" applyFill="1" applyBorder="1" applyAlignment="1">
      <alignment horizontal="center" vertical="center" wrapText="1"/>
    </xf>
    <xf numFmtId="1" fontId="37" fillId="2" borderId="33" xfId="0" applyNumberFormat="1" applyFont="1" applyFill="1" applyBorder="1" applyAlignment="1">
      <alignment horizontal="center" vertical="center" wrapText="1"/>
    </xf>
    <xf numFmtId="0" fontId="37" fillId="2" borderId="34" xfId="0" applyFont="1" applyFill="1" applyBorder="1" applyAlignment="1">
      <alignment horizontal="center" vertical="center" wrapText="1"/>
    </xf>
    <xf numFmtId="1" fontId="0" fillId="0" borderId="3" xfId="0" applyNumberFormat="1" applyBorder="1" applyAlignment="1">
      <alignment horizontal="left" vertical="center" wrapText="1"/>
    </xf>
    <xf numFmtId="0" fontId="0" fillId="0" borderId="26" xfId="0" applyBorder="1" applyAlignment="1">
      <alignment horizontal="left" vertical="center"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37"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1" xfId="0" applyFont="1" applyBorder="1" applyAlignment="1">
      <alignment horizontal="center" vertical="center" wrapText="1"/>
    </xf>
    <xf numFmtId="1" fontId="0" fillId="0" borderId="1" xfId="0" applyNumberFormat="1" applyBorder="1" applyAlignment="1">
      <alignment horizontal="left" vertical="center" wrapText="1"/>
    </xf>
    <xf numFmtId="0" fontId="9" fillId="0" borderId="1" xfId="0" applyFont="1" applyBorder="1"/>
    <xf numFmtId="0" fontId="9" fillId="0" borderId="19" xfId="0" applyFont="1" applyBorder="1" applyAlignment="1">
      <alignment wrapText="1"/>
    </xf>
    <xf numFmtId="1" fontId="0" fillId="0" borderId="19" xfId="0" applyNumberFormat="1" applyBorder="1" applyAlignment="1">
      <alignment horizontal="left" vertical="center" wrapText="1"/>
    </xf>
    <xf numFmtId="0" fontId="0" fillId="0" borderId="20" xfId="0" applyBorder="1" applyAlignment="1">
      <alignment horizontal="left" vertical="center" wrapText="1"/>
    </xf>
    <xf numFmtId="0" fontId="9" fillId="0" borderId="23" xfId="0" applyFont="1" applyBorder="1"/>
    <xf numFmtId="0" fontId="0" fillId="0" borderId="4" xfId="0" applyBorder="1" applyAlignment="1">
      <alignment horizontal="left" vertical="center" wrapText="1"/>
    </xf>
    <xf numFmtId="0" fontId="9" fillId="0" borderId="3" xfId="0" applyFont="1" applyBorder="1"/>
    <xf numFmtId="0" fontId="9" fillId="0" borderId="19" xfId="0" applyFont="1" applyBorder="1"/>
    <xf numFmtId="0" fontId="0" fillId="0" borderId="22" xfId="0" applyBorder="1" applyAlignment="1">
      <alignment horizontal="left" vertical="center" wrapText="1"/>
    </xf>
    <xf numFmtId="0" fontId="41" fillId="0" borderId="4" xfId="0" applyFont="1" applyBorder="1" applyAlignment="1">
      <alignment horizontal="center" vertical="center"/>
    </xf>
    <xf numFmtId="0" fontId="0" fillId="0" borderId="4" xfId="0" applyBorder="1" applyAlignment="1">
      <alignment vertical="center" wrapText="1"/>
    </xf>
    <xf numFmtId="1" fontId="0" fillId="0" borderId="8" xfId="0" applyNumberFormat="1" applyBorder="1" applyAlignment="1">
      <alignment horizontal="left" vertical="center" wrapText="1"/>
    </xf>
    <xf numFmtId="1" fontId="0" fillId="0" borderId="40" xfId="0" applyNumberFormat="1" applyBorder="1" applyAlignment="1">
      <alignment horizontal="left" vertical="center" wrapText="1"/>
    </xf>
    <xf numFmtId="1" fontId="0" fillId="0" borderId="41" xfId="0" applyNumberFormat="1" applyBorder="1" applyAlignment="1">
      <alignment horizontal="left" vertical="center" wrapText="1"/>
    </xf>
    <xf numFmtId="1" fontId="0" fillId="0" borderId="37" xfId="0" applyNumberFormat="1" applyBorder="1" applyAlignment="1">
      <alignment horizontal="left" vertical="center" wrapText="1"/>
    </xf>
    <xf numFmtId="0" fontId="48" fillId="19" borderId="28" xfId="0" applyFont="1" applyFill="1" applyBorder="1" applyAlignment="1">
      <alignment horizontal="center" vertical="center"/>
    </xf>
    <xf numFmtId="0" fontId="48" fillId="19" borderId="33" xfId="0" applyFont="1" applyFill="1" applyBorder="1" applyAlignment="1">
      <alignment horizontal="center" vertical="center"/>
    </xf>
    <xf numFmtId="0" fontId="48" fillId="19" borderId="34" xfId="0" applyFont="1" applyFill="1" applyBorder="1" applyAlignment="1">
      <alignment horizontal="center" vertical="center"/>
    </xf>
    <xf numFmtId="0" fontId="41" fillId="0" borderId="18" xfId="0" applyFont="1" applyBorder="1" applyAlignment="1">
      <alignment horizontal="center" vertical="center"/>
    </xf>
    <xf numFmtId="0" fontId="41" fillId="0" borderId="25" xfId="0" applyFont="1" applyBorder="1" applyAlignment="1">
      <alignment horizontal="center" vertical="center"/>
    </xf>
    <xf numFmtId="0" fontId="41" fillId="0" borderId="21" xfId="0" applyFont="1" applyBorder="1" applyAlignment="1">
      <alignment horizontal="center" vertical="center"/>
    </xf>
    <xf numFmtId="0" fontId="41" fillId="0" borderId="32" xfId="0" applyFont="1" applyBorder="1" applyAlignment="1">
      <alignment horizontal="center" vertical="center"/>
    </xf>
    <xf numFmtId="0" fontId="41" fillId="0" borderId="28" xfId="0" applyFont="1" applyBorder="1" applyAlignment="1">
      <alignment horizontal="center" vertical="center"/>
    </xf>
    <xf numFmtId="0" fontId="41" fillId="0" borderId="27" xfId="0" applyFont="1" applyBorder="1" applyAlignment="1">
      <alignment horizontal="center" vertical="center"/>
    </xf>
    <xf numFmtId="0" fontId="41" fillId="0" borderId="44" xfId="0" applyFont="1" applyBorder="1" applyAlignment="1">
      <alignment horizontal="center" vertical="center" wrapText="1"/>
    </xf>
    <xf numFmtId="0" fontId="41" fillId="0" borderId="42" xfId="0" applyFont="1" applyBorder="1" applyAlignment="1">
      <alignment horizontal="center" vertical="center" wrapText="1"/>
    </xf>
    <xf numFmtId="0" fontId="41" fillId="0" borderId="43" xfId="0" applyFont="1" applyBorder="1" applyAlignment="1">
      <alignment horizontal="center" vertical="center"/>
    </xf>
    <xf numFmtId="0" fontId="41" fillId="0" borderId="35" xfId="0" applyFont="1" applyBorder="1" applyAlignment="1">
      <alignment horizontal="center" vertical="center"/>
    </xf>
    <xf numFmtId="0" fontId="0" fillId="0" borderId="0" xfId="0" applyAlignment="1">
      <alignment horizontal="center" vertical="center" wrapText="1"/>
    </xf>
    <xf numFmtId="0" fontId="48" fillId="19" borderId="32" xfId="0" applyFont="1" applyFill="1" applyBorder="1" applyAlignment="1">
      <alignment horizontal="center" vertical="center"/>
    </xf>
    <xf numFmtId="0" fontId="48" fillId="19" borderId="30" xfId="0" applyFont="1" applyFill="1" applyBorder="1" applyAlignment="1">
      <alignment horizontal="center" vertical="center"/>
    </xf>
    <xf numFmtId="0" fontId="48" fillId="19" borderId="31" xfId="0" applyFont="1" applyFill="1" applyBorder="1" applyAlignment="1">
      <alignment horizontal="center" vertical="center"/>
    </xf>
    <xf numFmtId="0" fontId="49" fillId="0" borderId="38" xfId="0" applyFont="1" applyBorder="1" applyAlignment="1">
      <alignment horizontal="center" vertical="center"/>
    </xf>
    <xf numFmtId="0" fontId="49" fillId="0" borderId="39" xfId="0" applyFont="1" applyBorder="1" applyAlignment="1">
      <alignment horizontal="center" vertical="center"/>
    </xf>
    <xf numFmtId="0" fontId="49" fillId="0" borderId="42" xfId="0" applyFont="1" applyBorder="1" applyAlignment="1">
      <alignment horizontal="center" vertical="center"/>
    </xf>
    <xf numFmtId="0" fontId="41" fillId="0" borderId="44" xfId="0" applyFont="1" applyBorder="1" applyAlignment="1">
      <alignment horizontal="center" vertical="center"/>
    </xf>
    <xf numFmtId="0" fontId="41" fillId="0" borderId="39" xfId="0" applyFont="1" applyBorder="1" applyAlignment="1">
      <alignment horizontal="center" vertical="center"/>
    </xf>
    <xf numFmtId="0" fontId="41" fillId="0" borderId="42" xfId="0" applyFont="1" applyBorder="1" applyAlignment="1">
      <alignment horizontal="center" vertical="center"/>
    </xf>
    <xf numFmtId="0" fontId="40" fillId="8" borderId="2" xfId="0" applyFont="1" applyFill="1" applyBorder="1" applyAlignment="1">
      <alignment horizontal="center" vertical="center"/>
    </xf>
    <xf numFmtId="0" fontId="40" fillId="8" borderId="9" xfId="0" applyFont="1" applyFill="1" applyBorder="1" applyAlignment="1">
      <alignment horizontal="center" vertical="center"/>
    </xf>
    <xf numFmtId="0" fontId="40" fillId="8" borderId="8" xfId="0" applyFont="1" applyFill="1" applyBorder="1" applyAlignment="1">
      <alignment horizontal="center" vertical="center"/>
    </xf>
    <xf numFmtId="0" fontId="0" fillId="17" borderId="0" xfId="0" applyFill="1" applyAlignment="1">
      <alignment horizontal="center" vertical="center"/>
    </xf>
    <xf numFmtId="0" fontId="40" fillId="8" borderId="1" xfId="0" applyFont="1" applyFill="1" applyBorder="1" applyAlignment="1">
      <alignment horizontal="center" vertical="center"/>
    </xf>
    <xf numFmtId="0" fontId="5" fillId="3" borderId="1" xfId="0" applyFont="1" applyFill="1" applyBorder="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wrapText="1"/>
    </xf>
    <xf numFmtId="0" fontId="5" fillId="7" borderId="3" xfId="0" applyFont="1" applyFill="1" applyBorder="1" applyAlignment="1">
      <alignment horizontal="center" wrapText="1"/>
    </xf>
    <xf numFmtId="0" fontId="5" fillId="7" borderId="1" xfId="0" applyFont="1" applyFill="1" applyBorder="1" applyAlignment="1">
      <alignment horizontal="center" wrapText="1"/>
    </xf>
    <xf numFmtId="0" fontId="36" fillId="7" borderId="1" xfId="0" applyFont="1" applyFill="1" applyBorder="1" applyAlignment="1">
      <alignment horizontal="center" wrapText="1"/>
    </xf>
    <xf numFmtId="0" fontId="5" fillId="8" borderId="2" xfId="0" applyFont="1" applyFill="1" applyBorder="1" applyAlignment="1">
      <alignment horizontal="center"/>
    </xf>
    <xf numFmtId="0" fontId="5" fillId="8" borderId="9" xfId="0" applyFont="1" applyFill="1" applyBorder="1" applyAlignment="1">
      <alignment horizontal="center"/>
    </xf>
    <xf numFmtId="0" fontId="5" fillId="8" borderId="8" xfId="0" applyFont="1" applyFill="1" applyBorder="1" applyAlignment="1">
      <alignment horizontal="center"/>
    </xf>
    <xf numFmtId="0" fontId="13" fillId="8" borderId="2" xfId="0" applyFont="1" applyFill="1" applyBorder="1" applyAlignment="1">
      <alignment horizontal="center"/>
    </xf>
    <xf numFmtId="0" fontId="13" fillId="8" borderId="9" xfId="0" applyFont="1" applyFill="1" applyBorder="1" applyAlignment="1">
      <alignment horizontal="center"/>
    </xf>
    <xf numFmtId="0" fontId="13" fillId="8" borderId="8" xfId="0" applyFont="1" applyFill="1" applyBorder="1" applyAlignment="1">
      <alignment horizontal="center"/>
    </xf>
    <xf numFmtId="0" fontId="24" fillId="8" borderId="2" xfId="0" applyFont="1" applyFill="1" applyBorder="1" applyAlignment="1">
      <alignment horizontal="center" vertical="center"/>
    </xf>
    <xf numFmtId="0" fontId="24" fillId="8" borderId="9" xfId="0" applyFont="1" applyFill="1" applyBorder="1" applyAlignment="1">
      <alignment horizontal="center" vertical="center"/>
    </xf>
    <xf numFmtId="0" fontId="24" fillId="8" borderId="8" xfId="0" applyFont="1" applyFill="1" applyBorder="1" applyAlignment="1">
      <alignment horizontal="center" vertical="center"/>
    </xf>
    <xf numFmtId="0" fontId="0" fillId="0" borderId="0" xfId="0" applyAlignment="1">
      <alignment horizontal="center"/>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6" fillId="7" borderId="9" xfId="0" applyFont="1" applyFill="1" applyBorder="1" applyAlignment="1">
      <alignment horizontal="center" vertical="center" wrapText="1"/>
    </xf>
    <xf numFmtId="0" fontId="36" fillId="7" borderId="8"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6" fillId="8" borderId="1" xfId="0" applyFont="1" applyFill="1" applyBorder="1" applyAlignment="1">
      <alignment horizontal="center" vertical="center" wrapText="1"/>
    </xf>
    <xf numFmtId="0" fontId="36" fillId="7" borderId="1" xfId="0" applyFont="1" applyFill="1" applyBorder="1" applyAlignment="1">
      <alignment horizontal="center" vertical="center" wrapText="1"/>
    </xf>
  </cellXfs>
  <cellStyles count="1">
    <cellStyle name="Normal" xfId="0" builtinId="0"/>
  </cellStyles>
  <dxfs count="17">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center" textRotation="0" wrapText="1" indent="0" justifyLastLine="0" shrinkToFit="0" readingOrder="0"/>
    </dxf>
    <dxf>
      <alignment vertical="center"/>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charset val="1"/>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charset val="1"/>
        <scheme val="none"/>
      </font>
      <alignment horizontal="center" vertical="center" textRotation="0" wrapText="1" indent="0" justifyLastLine="0" shrinkToFit="0" readingOrder="0"/>
    </dxf>
    <dxf>
      <alignment vertical="center"/>
    </dxf>
    <dxf>
      <font>
        <b/>
        <i val="0"/>
        <strike val="0"/>
        <condense val="0"/>
        <extend val="0"/>
        <outline val="0"/>
        <shadow val="0"/>
        <u val="none"/>
        <vertAlign val="baseline"/>
        <sz val="12"/>
        <color theme="1"/>
        <name val="Aptos Narrow"/>
        <family val="2"/>
        <charset val="1"/>
        <scheme val="none"/>
      </font>
      <alignment horizontal="center" vertical="center" textRotation="0" wrapText="1" indent="0" justifyLastLine="0" shrinkToFit="0" readingOrder="0"/>
    </dxf>
    <dxf>
      <border outline="0">
        <top style="thin">
          <color rgb="FF44B3E1"/>
        </top>
        <bottom style="medium">
          <color theme="1"/>
        </bottom>
      </border>
    </dxf>
    <dxf>
      <border outline="0">
        <bottom style="thin">
          <color rgb="FF44B3E1"/>
        </bottom>
      </border>
    </dxf>
    <dxf>
      <font>
        <b/>
        <i val="0"/>
        <strike val="0"/>
        <condense val="0"/>
        <extend val="0"/>
        <outline val="0"/>
        <shadow val="0"/>
        <u val="none"/>
        <vertAlign val="baseline"/>
        <sz val="11"/>
        <color rgb="FFFFFFFF"/>
        <name val="Aptos Narrow"/>
        <family val="2"/>
        <charset val="1"/>
        <scheme val="none"/>
      </font>
      <fill>
        <patternFill patternType="solid">
          <fgColor indexed="64"/>
          <bgColor theme="3" tint="0.249977111117893"/>
        </patternFill>
      </fill>
      <alignment horizontal="center"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61141"/>
      <rgbColor rgb="FF008080"/>
      <rgbColor rgb="FFC0C0C0"/>
      <rgbColor rgb="FF808080"/>
      <rgbColor rgb="FF9999FF"/>
      <rgbColor rgb="FF993366"/>
      <rgbColor rgb="FFEEEE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A500"/>
      <rgbColor rgb="FFFF6600"/>
      <rgbColor rgb="FF36609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59C391-F61D-4674-B50E-B8CDCCD6A4EF}" name="Table1" displayName="Table1" ref="B3:C13" totalsRowShown="0" headerRowDxfId="16" headerRowBorderDxfId="15" tableBorderDxfId="14">
  <autoFilter ref="B3:C13" xr:uid="{8759C391-F61D-4674-B50E-B8CDCCD6A4EF}"/>
  <tableColumns count="2">
    <tableColumn id="1" xr3:uid="{672E474D-7E6A-4DD4-954F-F15F9E550D66}" name="ID Prefix"/>
    <tableColumn id="2" xr3:uid="{15BFFCEF-E92D-43B5-B321-0E72F349A800}"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C3A251-05E4-44D5-9F99-B1B46A09D0F4}" name="Table2" displayName="Table2" ref="A1:E9" totalsRowShown="0" headerRowDxfId="1" dataDxfId="0">
  <autoFilter ref="A1:E9" xr:uid="{2BC3A251-05E4-44D5-9F99-B1B46A09D0F4}"/>
  <tableColumns count="5">
    <tableColumn id="1" xr3:uid="{89007632-4EBC-4B40-A17B-BD4B7151F7AE}" name="#" dataDxfId="6"/>
    <tableColumn id="2" xr3:uid="{AD30BE0F-2859-42C3-A6C3-43970B9F1295}" name="Milestone" dataDxfId="5"/>
    <tableColumn id="3" xr3:uid="{3269EF29-6939-4590-836F-F37598619246}" name="Scope" dataDxfId="4"/>
    <tableColumn id="4" xr3:uid="{F1B7343C-4F59-4E49-AD47-CA9045F908A7}" name="Description" dataDxfId="3"/>
    <tableColumn id="5" xr3:uid="{512FD1A4-D1E7-4B82-8414-4DFEDC39E2C5}" name="Estimation"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E2B385-8C99-4956-9637-842331771AA9}" name="Table3" displayName="Table3" ref="B3:F9" totalsRowShown="0" headerRowDxfId="13" dataDxfId="12">
  <autoFilter ref="B3:F9" xr:uid="{E6E2B385-8C99-4956-9637-842331771AA9}"/>
  <tableColumns count="5">
    <tableColumn id="5" xr3:uid="{EB67E681-18AA-4170-8925-5CC020CE8966}" name="#" dataDxfId="11">
      <calculatedColumnFormula>ROW() - ROW(Table3[[#Headers],['#]])</calculatedColumnFormula>
    </tableColumn>
    <tableColumn id="1" xr3:uid="{C33218BA-2B47-404F-9E8A-0851EFBEEF89}" name="Work Package" dataDxfId="10"/>
    <tableColumn id="3" xr3:uid="{0B950A2A-BFA1-4703-A4FB-57A3BBEFDEC1}" name="Issue Count" dataDxfId="9"/>
    <tableColumn id="6" xr3:uid="{B8F90FBD-AAF3-458C-90FB-BB8B9EBF99B5}" name="Duration" dataDxfId="8">
      <calculatedColumnFormula>COUNTIF(Planning!A:A,"*1.1*")+COUNTIF(Planning!A:A,"*1.2*")+COUNTIF(Planning!A:A,"*1.3*")+COUNTIF(Planning!A:A,"*1.4*")+COUNTIF(Planning!A:A,"*1.5*")+COUNTIF(Planning!A:A,"*1.6*")</calculatedColumnFormula>
    </tableColumn>
    <tableColumn id="4" xr3:uid="{874D6069-7A81-4307-BB8B-0AE748EB9DC7}" name="Sub-Work Packages / Deliverables"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379A-E6F3-4534-A993-386D5413C3D5}">
  <dimension ref="B3:C13"/>
  <sheetViews>
    <sheetView workbookViewId="0">
      <selection activeCell="H10" sqref="H10"/>
    </sheetView>
  </sheetViews>
  <sheetFormatPr defaultRowHeight="14.4" x14ac:dyDescent="0.3"/>
  <cols>
    <col min="2" max="2" width="12.6640625" customWidth="1"/>
    <col min="3" max="3" width="18.44140625" bestFit="1" customWidth="1"/>
  </cols>
  <sheetData>
    <row r="3" spans="2:3" x14ac:dyDescent="0.3">
      <c r="B3" s="50" t="s">
        <v>0</v>
      </c>
      <c r="C3" s="51" t="s">
        <v>1</v>
      </c>
    </row>
    <row r="4" spans="2:3" x14ac:dyDescent="0.3">
      <c r="B4" s="52" t="s">
        <v>2</v>
      </c>
      <c r="C4" s="53" t="s">
        <v>3</v>
      </c>
    </row>
    <row r="5" spans="2:3" x14ac:dyDescent="0.3">
      <c r="B5" s="54" t="s">
        <v>4</v>
      </c>
      <c r="C5" s="55" t="s">
        <v>5</v>
      </c>
    </row>
    <row r="6" spans="2:3" x14ac:dyDescent="0.3">
      <c r="B6" s="52" t="s">
        <v>6</v>
      </c>
      <c r="C6" s="53" t="s">
        <v>7</v>
      </c>
    </row>
    <row r="7" spans="2:3" x14ac:dyDescent="0.3">
      <c r="B7" s="54" t="s">
        <v>8</v>
      </c>
      <c r="C7" s="55" t="s">
        <v>9</v>
      </c>
    </row>
    <row r="8" spans="2:3" x14ac:dyDescent="0.3">
      <c r="B8" s="52" t="s">
        <v>10</v>
      </c>
      <c r="C8" s="53" t="s">
        <v>11</v>
      </c>
    </row>
    <row r="9" spans="2:3" x14ac:dyDescent="0.3">
      <c r="B9" s="54" t="s">
        <v>12</v>
      </c>
      <c r="C9" s="55" t="s">
        <v>13</v>
      </c>
    </row>
    <row r="10" spans="2:3" x14ac:dyDescent="0.3">
      <c r="B10" s="52" t="s">
        <v>14</v>
      </c>
      <c r="C10" s="53" t="s">
        <v>15</v>
      </c>
    </row>
    <row r="11" spans="2:3" x14ac:dyDescent="0.3">
      <c r="B11" s="54" t="s">
        <v>16</v>
      </c>
      <c r="C11" s="55" t="s">
        <v>17</v>
      </c>
    </row>
    <row r="12" spans="2:3" x14ac:dyDescent="0.3">
      <c r="B12" s="52" t="s">
        <v>18</v>
      </c>
      <c r="C12" s="53" t="s">
        <v>19</v>
      </c>
    </row>
    <row r="13" spans="2:3" x14ac:dyDescent="0.3">
      <c r="B13" s="56" t="s">
        <v>20</v>
      </c>
      <c r="C13" s="56"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6113-041D-4168-A1B3-91DC19D0D5CB}">
  <dimension ref="A1:E9"/>
  <sheetViews>
    <sheetView workbookViewId="0">
      <selection activeCell="D6" sqref="D6"/>
    </sheetView>
  </sheetViews>
  <sheetFormatPr defaultRowHeight="14.4" x14ac:dyDescent="0.3"/>
  <cols>
    <col min="1" max="1" width="6.44140625" bestFit="1" customWidth="1"/>
    <col min="2" max="2" width="24.33203125" customWidth="1"/>
    <col min="3" max="3" width="27.77734375" customWidth="1"/>
    <col min="4" max="4" width="32.77734375" customWidth="1"/>
    <col min="5" max="5" width="12.21875" bestFit="1" customWidth="1"/>
  </cols>
  <sheetData>
    <row r="1" spans="1:5" x14ac:dyDescent="0.3">
      <c r="A1" s="59" t="s">
        <v>22</v>
      </c>
      <c r="B1" s="61" t="s">
        <v>23</v>
      </c>
      <c r="C1" s="61" t="s">
        <v>24</v>
      </c>
      <c r="D1" s="61" t="s">
        <v>25</v>
      </c>
      <c r="E1" s="61" t="s">
        <v>26</v>
      </c>
    </row>
    <row r="2" spans="1:5" ht="43.2" x14ac:dyDescent="0.3">
      <c r="A2" s="59">
        <v>1</v>
      </c>
      <c r="B2" s="59" t="s">
        <v>27</v>
      </c>
      <c r="C2" s="59" t="s">
        <v>3</v>
      </c>
      <c r="D2" s="61" t="s">
        <v>28</v>
      </c>
      <c r="E2" s="61"/>
    </row>
    <row r="3" spans="1:5" x14ac:dyDescent="0.3">
      <c r="A3" s="59">
        <v>2</v>
      </c>
      <c r="B3" s="121" t="s">
        <v>33</v>
      </c>
      <c r="C3" s="121" t="s">
        <v>34</v>
      </c>
      <c r="D3" s="61" t="s">
        <v>35</v>
      </c>
      <c r="E3" s="61"/>
    </row>
    <row r="4" spans="1:5" ht="57.6" x14ac:dyDescent="0.3">
      <c r="A4" s="59">
        <v>3</v>
      </c>
      <c r="B4" s="121" t="s">
        <v>38</v>
      </c>
      <c r="C4" s="121" t="s">
        <v>39</v>
      </c>
      <c r="D4" s="61" t="s">
        <v>40</v>
      </c>
      <c r="E4" s="61"/>
    </row>
    <row r="5" spans="1:5" ht="28.8" x14ac:dyDescent="0.3">
      <c r="A5" s="59">
        <v>4</v>
      </c>
      <c r="B5" s="121" t="s">
        <v>43</v>
      </c>
      <c r="C5" s="121"/>
      <c r="D5" s="61"/>
      <c r="E5" s="61"/>
    </row>
    <row r="6" spans="1:5" ht="28.8" x14ac:dyDescent="0.3">
      <c r="A6" s="59">
        <v>5</v>
      </c>
      <c r="B6" s="121" t="s">
        <v>46</v>
      </c>
      <c r="C6" s="121" t="s">
        <v>47</v>
      </c>
      <c r="D6" s="61" t="s">
        <v>48</v>
      </c>
      <c r="E6" s="61"/>
    </row>
    <row r="7" spans="1:5" ht="28.8" x14ac:dyDescent="0.3">
      <c r="A7" s="59">
        <v>6</v>
      </c>
      <c r="B7" s="121" t="s">
        <v>51</v>
      </c>
      <c r="C7" s="121"/>
      <c r="D7" s="61"/>
      <c r="E7" s="61"/>
    </row>
    <row r="8" spans="1:5" ht="28.8" x14ac:dyDescent="0.3">
      <c r="A8" s="59">
        <v>7</v>
      </c>
      <c r="B8" s="121" t="s">
        <v>54</v>
      </c>
      <c r="C8" s="121" t="s">
        <v>47</v>
      </c>
      <c r="D8" s="61" t="s">
        <v>55</v>
      </c>
      <c r="E8" s="61"/>
    </row>
    <row r="9" spans="1:5" x14ac:dyDescent="0.3">
      <c r="A9" s="59">
        <v>8</v>
      </c>
      <c r="B9" s="121" t="s">
        <v>58</v>
      </c>
      <c r="C9" s="121"/>
      <c r="D9" s="61"/>
      <c r="E9" s="6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037B1-0557-4106-A400-39DFBFE9A655}">
  <dimension ref="B3:F9"/>
  <sheetViews>
    <sheetView workbookViewId="0">
      <selection activeCell="F5" sqref="F5"/>
    </sheetView>
  </sheetViews>
  <sheetFormatPr defaultRowHeight="14.4" x14ac:dyDescent="0.3"/>
  <cols>
    <col min="2" max="2" width="7.5546875" customWidth="1"/>
    <col min="3" max="3" width="18.5546875" customWidth="1"/>
    <col min="4" max="4" width="17.33203125" customWidth="1"/>
    <col min="5" max="5" width="14.88671875" customWidth="1"/>
    <col min="6" max="6" width="61.6640625" customWidth="1"/>
  </cols>
  <sheetData>
    <row r="3" spans="2:6" ht="15.6" x14ac:dyDescent="0.3">
      <c r="B3" s="194" t="s">
        <v>22</v>
      </c>
      <c r="C3" s="194" t="s">
        <v>29</v>
      </c>
      <c r="D3" s="194" t="s">
        <v>30</v>
      </c>
      <c r="E3" s="194" t="s">
        <v>31</v>
      </c>
      <c r="F3" s="194" t="s">
        <v>32</v>
      </c>
    </row>
    <row r="4" spans="2:6" ht="72" x14ac:dyDescent="0.3">
      <c r="B4" s="172">
        <f>ROW() - ROW(Table3[[#Headers],['#]])</f>
        <v>1</v>
      </c>
      <c r="C4" s="172" t="s">
        <v>36</v>
      </c>
      <c r="D4" s="172">
        <v>25</v>
      </c>
      <c r="E4" s="172"/>
      <c r="F4" s="174" t="s">
        <v>37</v>
      </c>
    </row>
    <row r="5" spans="2:6" ht="72" x14ac:dyDescent="0.3">
      <c r="B5" s="172">
        <f>ROW() - ROW(Table3[[#Headers],['#]])</f>
        <v>2</v>
      </c>
      <c r="C5" s="172" t="s">
        <v>41</v>
      </c>
      <c r="D5" s="173"/>
      <c r="E5" s="173"/>
      <c r="F5" s="175" t="s">
        <v>42</v>
      </c>
    </row>
    <row r="6" spans="2:6" ht="72" x14ac:dyDescent="0.3">
      <c r="B6" s="172">
        <f>ROW() - ROW(Table3[[#Headers],['#]])</f>
        <v>3</v>
      </c>
      <c r="C6" s="172" t="s">
        <v>44</v>
      </c>
      <c r="D6" s="173"/>
      <c r="E6" s="173"/>
      <c r="F6" s="175" t="s">
        <v>45</v>
      </c>
    </row>
    <row r="7" spans="2:6" ht="72" x14ac:dyDescent="0.3">
      <c r="B7" s="172">
        <f>ROW() - ROW(Table3[[#Headers],['#]])</f>
        <v>4</v>
      </c>
      <c r="C7" s="172" t="s">
        <v>49</v>
      </c>
      <c r="D7" s="173"/>
      <c r="E7" s="173"/>
      <c r="F7" s="175" t="s">
        <v>50</v>
      </c>
    </row>
    <row r="8" spans="2:6" ht="57.6" x14ac:dyDescent="0.3">
      <c r="B8" s="172">
        <f>ROW() - ROW(Table3[[#Headers],['#]])</f>
        <v>5</v>
      </c>
      <c r="C8" s="172" t="s">
        <v>52</v>
      </c>
      <c r="D8" s="173"/>
      <c r="E8" s="173"/>
      <c r="F8" s="175" t="s">
        <v>53</v>
      </c>
    </row>
    <row r="9" spans="2:6" ht="72" x14ac:dyDescent="0.3">
      <c r="B9" s="172">
        <f>ROW() - ROW(Table3[[#Headers],['#]])</f>
        <v>6</v>
      </c>
      <c r="C9" s="172" t="s">
        <v>56</v>
      </c>
      <c r="D9" s="173"/>
      <c r="E9" s="173"/>
      <c r="F9" s="175"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27A8-B6BE-4F9D-AF45-9F501E2F86A2}">
  <dimension ref="A1:E83"/>
  <sheetViews>
    <sheetView tabSelected="1" workbookViewId="0">
      <selection activeCell="C15" sqref="C15"/>
    </sheetView>
  </sheetViews>
  <sheetFormatPr defaultRowHeight="14.4" x14ac:dyDescent="0.3"/>
  <cols>
    <col min="1" max="1" width="11.44140625" style="171" customWidth="1"/>
    <col min="2" max="2" width="12.6640625" style="1" customWidth="1"/>
    <col min="3" max="3" width="39.88671875" style="2" customWidth="1"/>
    <col min="4" max="4" width="18.109375" style="167" customWidth="1"/>
    <col min="5" max="5" width="15.109375" style="2" customWidth="1"/>
  </cols>
  <sheetData>
    <row r="1" spans="1:5" x14ac:dyDescent="0.3">
      <c r="B1" s="243"/>
      <c r="C1" s="243"/>
      <c r="D1" s="243"/>
      <c r="E1" s="243"/>
    </row>
    <row r="2" spans="1:5" x14ac:dyDescent="0.3">
      <c r="B2"/>
      <c r="C2"/>
      <c r="D2"/>
      <c r="E2"/>
    </row>
    <row r="3" spans="1:5" ht="18" x14ac:dyDescent="0.3">
      <c r="A3" s="200" t="s">
        <v>59</v>
      </c>
      <c r="B3" s="201" t="s">
        <v>60</v>
      </c>
      <c r="C3" s="201" t="s">
        <v>61</v>
      </c>
      <c r="D3" s="202" t="s">
        <v>62</v>
      </c>
      <c r="E3" s="203" t="s">
        <v>23</v>
      </c>
    </row>
    <row r="4" spans="1:5" ht="28.5" customHeight="1" x14ac:dyDescent="0.3">
      <c r="A4" s="244" t="s">
        <v>63</v>
      </c>
      <c r="B4" s="245"/>
      <c r="C4" s="245"/>
      <c r="D4" s="245"/>
      <c r="E4" s="246"/>
    </row>
    <row r="5" spans="1:5" x14ac:dyDescent="0.3">
      <c r="A5" s="247">
        <v>1.1000000000000001</v>
      </c>
      <c r="B5" s="208" t="s">
        <v>64</v>
      </c>
      <c r="C5" s="197" t="s">
        <v>65</v>
      </c>
      <c r="D5" s="198"/>
      <c r="E5" s="199"/>
    </row>
    <row r="6" spans="1:5" x14ac:dyDescent="0.3">
      <c r="A6" s="248"/>
      <c r="B6" s="209" t="s">
        <v>66</v>
      </c>
      <c r="C6" s="78" t="s">
        <v>67</v>
      </c>
      <c r="D6" s="164"/>
      <c r="E6" s="179"/>
    </row>
    <row r="7" spans="1:5" x14ac:dyDescent="0.3">
      <c r="A7" s="248"/>
      <c r="B7" s="209" t="s">
        <v>68</v>
      </c>
      <c r="C7" s="78" t="s">
        <v>69</v>
      </c>
      <c r="D7" s="164"/>
      <c r="E7" s="180"/>
    </row>
    <row r="8" spans="1:5" x14ac:dyDescent="0.3">
      <c r="A8" s="248"/>
      <c r="B8" s="209" t="s">
        <v>70</v>
      </c>
      <c r="C8" s="78" t="s">
        <v>71</v>
      </c>
      <c r="D8" s="164"/>
      <c r="E8" s="179"/>
    </row>
    <row r="9" spans="1:5" x14ac:dyDescent="0.3">
      <c r="A9" s="248"/>
      <c r="B9" s="209" t="s">
        <v>72</v>
      </c>
      <c r="C9" s="78" t="s">
        <v>73</v>
      </c>
      <c r="D9" s="164"/>
      <c r="E9" s="180"/>
    </row>
    <row r="10" spans="1:5" ht="28.8" x14ac:dyDescent="0.3">
      <c r="A10" s="248"/>
      <c r="B10" s="209" t="s">
        <v>74</v>
      </c>
      <c r="C10" s="78" t="s">
        <v>75</v>
      </c>
      <c r="D10" s="164"/>
      <c r="E10" s="179"/>
    </row>
    <row r="11" spans="1:5" x14ac:dyDescent="0.3">
      <c r="A11" s="248"/>
      <c r="B11" s="209" t="s">
        <v>76</v>
      </c>
      <c r="C11" s="78" t="s">
        <v>77</v>
      </c>
      <c r="D11" s="164"/>
      <c r="E11" s="180"/>
    </row>
    <row r="12" spans="1:5" ht="28.8" x14ac:dyDescent="0.3">
      <c r="A12" s="249"/>
      <c r="B12" s="210" t="s">
        <v>78</v>
      </c>
      <c r="C12" s="185" t="s">
        <v>79</v>
      </c>
      <c r="D12" s="186"/>
      <c r="E12" s="187"/>
    </row>
    <row r="13" spans="1:5" x14ac:dyDescent="0.3">
      <c r="A13" s="250">
        <v>1.2</v>
      </c>
      <c r="B13" s="211" t="s">
        <v>80</v>
      </c>
      <c r="C13" s="182" t="s">
        <v>81</v>
      </c>
      <c r="D13" s="177"/>
      <c r="E13" s="178"/>
    </row>
    <row r="14" spans="1:5" x14ac:dyDescent="0.3">
      <c r="A14" s="251"/>
      <c r="B14" s="212" t="s">
        <v>82</v>
      </c>
      <c r="C14" s="176" t="s">
        <v>83</v>
      </c>
      <c r="D14" s="164"/>
      <c r="E14" s="180"/>
    </row>
    <row r="15" spans="1:5" x14ac:dyDescent="0.3">
      <c r="A15" s="251"/>
      <c r="B15" s="212" t="s">
        <v>84</v>
      </c>
      <c r="C15" s="176" t="s">
        <v>85</v>
      </c>
      <c r="D15" s="164"/>
      <c r="E15" s="183"/>
    </row>
    <row r="16" spans="1:5" x14ac:dyDescent="0.3">
      <c r="A16" s="251"/>
      <c r="B16" s="212" t="s">
        <v>86</v>
      </c>
      <c r="C16" s="176" t="s">
        <v>87</v>
      </c>
      <c r="D16" s="164"/>
      <c r="E16" s="180"/>
    </row>
    <row r="17" spans="1:5" x14ac:dyDescent="0.3">
      <c r="A17" s="251"/>
      <c r="B17" s="212" t="s">
        <v>88</v>
      </c>
      <c r="C17" s="176" t="s">
        <v>89</v>
      </c>
      <c r="D17" s="164"/>
      <c r="E17" s="183"/>
    </row>
    <row r="18" spans="1:5" x14ac:dyDescent="0.3">
      <c r="A18" s="251"/>
      <c r="B18" s="212" t="s">
        <v>90</v>
      </c>
      <c r="C18" s="176" t="s">
        <v>91</v>
      </c>
      <c r="D18" s="164"/>
      <c r="E18" s="180"/>
    </row>
    <row r="19" spans="1:5" x14ac:dyDescent="0.3">
      <c r="A19" s="252"/>
      <c r="B19" s="207" t="s">
        <v>92</v>
      </c>
      <c r="C19" s="189" t="s">
        <v>93</v>
      </c>
      <c r="D19" s="186"/>
      <c r="E19" s="190"/>
    </row>
    <row r="20" spans="1:5" x14ac:dyDescent="0.3">
      <c r="A20" s="250">
        <v>1.3</v>
      </c>
      <c r="B20" s="211" t="s">
        <v>94</v>
      </c>
      <c r="C20" s="182" t="s">
        <v>95</v>
      </c>
      <c r="D20" s="177"/>
      <c r="E20" s="178"/>
    </row>
    <row r="21" spans="1:5" x14ac:dyDescent="0.3">
      <c r="A21" s="251"/>
      <c r="B21" s="212" t="s">
        <v>96</v>
      </c>
      <c r="C21" s="176" t="s">
        <v>97</v>
      </c>
      <c r="D21" s="164"/>
      <c r="E21" s="183"/>
    </row>
    <row r="22" spans="1:5" x14ac:dyDescent="0.3">
      <c r="A22" s="251"/>
      <c r="B22" s="212" t="s">
        <v>98</v>
      </c>
      <c r="C22" s="176" t="s">
        <v>99</v>
      </c>
      <c r="D22" s="164"/>
      <c r="E22" s="180"/>
    </row>
    <row r="23" spans="1:5" x14ac:dyDescent="0.3">
      <c r="A23" s="251"/>
      <c r="B23" s="212" t="s">
        <v>100</v>
      </c>
      <c r="C23" s="176" t="s">
        <v>101</v>
      </c>
      <c r="D23" s="164"/>
      <c r="E23" s="183"/>
    </row>
    <row r="24" spans="1:5" x14ac:dyDescent="0.3">
      <c r="A24" s="251"/>
      <c r="B24" s="212" t="s">
        <v>102</v>
      </c>
      <c r="C24" s="176" t="s">
        <v>103</v>
      </c>
      <c r="D24" s="164"/>
      <c r="E24" s="180"/>
    </row>
    <row r="25" spans="1:5" x14ac:dyDescent="0.3">
      <c r="A25" s="251"/>
      <c r="B25" s="212" t="s">
        <v>104</v>
      </c>
      <c r="C25" s="176" t="s">
        <v>105</v>
      </c>
      <c r="D25" s="164"/>
      <c r="E25" s="183"/>
    </row>
    <row r="26" spans="1:5" ht="28.8" x14ac:dyDescent="0.3">
      <c r="A26" s="252"/>
      <c r="B26" s="207" t="s">
        <v>106</v>
      </c>
      <c r="C26" s="189" t="s">
        <v>107</v>
      </c>
      <c r="D26" s="186"/>
      <c r="E26" s="193"/>
    </row>
    <row r="27" spans="1:5" x14ac:dyDescent="0.3">
      <c r="A27" s="239">
        <v>1.4</v>
      </c>
      <c r="B27" s="211" t="s">
        <v>108</v>
      </c>
      <c r="C27" s="182" t="s">
        <v>109</v>
      </c>
      <c r="D27" s="182"/>
      <c r="E27" s="191"/>
    </row>
    <row r="28" spans="1:5" x14ac:dyDescent="0.3">
      <c r="A28" s="240"/>
      <c r="B28" s="213" t="s">
        <v>110</v>
      </c>
      <c r="C28" s="184" t="s">
        <v>111</v>
      </c>
      <c r="D28" s="184"/>
      <c r="E28" s="188"/>
    </row>
    <row r="29" spans="1:5" ht="28.8" x14ac:dyDescent="0.3">
      <c r="A29" s="241">
        <v>1.5</v>
      </c>
      <c r="B29" s="206" t="s">
        <v>112</v>
      </c>
      <c r="C29" s="181" t="s">
        <v>113</v>
      </c>
      <c r="D29" s="195"/>
      <c r="E29" s="196"/>
    </row>
    <row r="30" spans="1:5" ht="18" customHeight="1" x14ac:dyDescent="0.3">
      <c r="A30" s="242"/>
      <c r="B30" s="207" t="s">
        <v>114</v>
      </c>
      <c r="C30" s="189" t="s">
        <v>115</v>
      </c>
      <c r="D30" s="204"/>
      <c r="E30" s="205"/>
    </row>
    <row r="31" spans="1:5" ht="15.6" x14ac:dyDescent="0.3">
      <c r="A31" s="230" t="s">
        <v>116</v>
      </c>
      <c r="B31" s="231"/>
      <c r="C31" s="231"/>
      <c r="D31" s="231"/>
      <c r="E31" s="232"/>
    </row>
    <row r="32" spans="1:5" x14ac:dyDescent="0.3">
      <c r="A32" s="233">
        <v>2.1</v>
      </c>
      <c r="B32" s="216" t="s">
        <v>117</v>
      </c>
      <c r="C32" s="216" t="s">
        <v>118</v>
      </c>
      <c r="D32" s="217"/>
      <c r="E32" s="218"/>
    </row>
    <row r="33" spans="1:5" x14ac:dyDescent="0.3">
      <c r="A33" s="234"/>
      <c r="B33" s="221" t="s">
        <v>119</v>
      </c>
      <c r="C33" s="221" t="s">
        <v>120</v>
      </c>
      <c r="D33" s="204"/>
      <c r="E33" s="205"/>
    </row>
    <row r="34" spans="1:5" x14ac:dyDescent="0.3">
      <c r="A34" s="233">
        <v>2.2000000000000002</v>
      </c>
      <c r="B34" s="222" t="s">
        <v>121</v>
      </c>
      <c r="C34" s="222" t="s">
        <v>122</v>
      </c>
      <c r="D34" s="217"/>
      <c r="E34" s="218"/>
    </row>
    <row r="35" spans="1:5" x14ac:dyDescent="0.3">
      <c r="A35" s="235"/>
      <c r="B35" s="215" t="s">
        <v>123</v>
      </c>
      <c r="C35" s="215" t="s">
        <v>124</v>
      </c>
      <c r="D35" s="214"/>
      <c r="E35" s="223"/>
    </row>
    <row r="36" spans="1:5" x14ac:dyDescent="0.3">
      <c r="A36" s="235"/>
      <c r="B36" s="215" t="s">
        <v>125</v>
      </c>
      <c r="C36" s="215" t="s">
        <v>126</v>
      </c>
      <c r="D36" s="214"/>
      <c r="E36" s="223"/>
    </row>
    <row r="37" spans="1:5" x14ac:dyDescent="0.3">
      <c r="A37" s="234"/>
      <c r="B37" s="221" t="s">
        <v>127</v>
      </c>
      <c r="C37" s="221" t="s">
        <v>128</v>
      </c>
      <c r="D37" s="204"/>
      <c r="E37" s="205"/>
    </row>
    <row r="38" spans="1:5" x14ac:dyDescent="0.3">
      <c r="A38" s="236">
        <v>2.4</v>
      </c>
      <c r="B38" s="222" t="s">
        <v>129</v>
      </c>
      <c r="C38" s="222" t="s">
        <v>130</v>
      </c>
      <c r="D38" s="227"/>
      <c r="E38" s="218"/>
    </row>
    <row r="39" spans="1:5" x14ac:dyDescent="0.3">
      <c r="A39" s="237"/>
      <c r="B39" s="221" t="s">
        <v>131</v>
      </c>
      <c r="C39" s="221" t="s">
        <v>132</v>
      </c>
      <c r="D39" s="229"/>
      <c r="E39" s="205"/>
    </row>
    <row r="40" spans="1:5" x14ac:dyDescent="0.3">
      <c r="A40" s="236">
        <v>2.5</v>
      </c>
      <c r="B40" s="222" t="s">
        <v>133</v>
      </c>
      <c r="C40" s="222" t="s">
        <v>134</v>
      </c>
      <c r="D40" s="227"/>
      <c r="E40" s="218"/>
    </row>
    <row r="41" spans="1:5" x14ac:dyDescent="0.3">
      <c r="A41" s="237"/>
      <c r="B41" s="215" t="s">
        <v>135</v>
      </c>
      <c r="C41" s="215" t="s">
        <v>136</v>
      </c>
      <c r="D41" s="226"/>
      <c r="E41" s="223"/>
    </row>
    <row r="42" spans="1:5" x14ac:dyDescent="0.3">
      <c r="A42" s="238"/>
      <c r="B42" s="219" t="s">
        <v>137</v>
      </c>
      <c r="C42" s="219" t="s">
        <v>138</v>
      </c>
      <c r="D42" s="228"/>
      <c r="E42" s="192"/>
    </row>
    <row r="43" spans="1:5" x14ac:dyDescent="0.3">
      <c r="A43" s="224"/>
      <c r="B43" s="225"/>
      <c r="C43" s="220"/>
      <c r="D43" s="195"/>
      <c r="E43" s="220"/>
    </row>
    <row r="44" spans="1:5" x14ac:dyDescent="0.3">
      <c r="A44" s="96"/>
      <c r="B44" s="139"/>
      <c r="C44" s="8"/>
      <c r="D44" s="214"/>
      <c r="E44" s="8"/>
    </row>
    <row r="45" spans="1:5" x14ac:dyDescent="0.3">
      <c r="A45" s="96"/>
      <c r="B45" s="139"/>
      <c r="C45" s="8"/>
      <c r="D45" s="214"/>
      <c r="E45" s="8"/>
    </row>
    <row r="46" spans="1:5" x14ac:dyDescent="0.3">
      <c r="A46" s="96"/>
      <c r="B46" s="139"/>
      <c r="C46" s="8"/>
      <c r="D46" s="214"/>
      <c r="E46" s="8"/>
    </row>
    <row r="47" spans="1:5" x14ac:dyDescent="0.3">
      <c r="A47" s="96"/>
      <c r="B47" s="139"/>
      <c r="C47" s="8"/>
      <c r="D47" s="214"/>
      <c r="E47" s="8"/>
    </row>
    <row r="48" spans="1:5" x14ac:dyDescent="0.3">
      <c r="A48" s="96"/>
      <c r="B48" s="139"/>
      <c r="C48" s="8"/>
      <c r="D48" s="214"/>
      <c r="E48" s="8"/>
    </row>
    <row r="49" spans="1:5" x14ac:dyDescent="0.3">
      <c r="A49" s="96"/>
      <c r="B49" s="139"/>
      <c r="C49" s="8"/>
      <c r="D49" s="214"/>
      <c r="E49" s="8"/>
    </row>
    <row r="50" spans="1:5" x14ac:dyDescent="0.3">
      <c r="A50" s="96"/>
      <c r="B50" s="139"/>
      <c r="C50" s="8"/>
      <c r="D50" s="214"/>
      <c r="E50" s="8"/>
    </row>
    <row r="51" spans="1:5" x14ac:dyDescent="0.3">
      <c r="A51" s="96"/>
      <c r="B51" s="139"/>
      <c r="C51" s="8"/>
      <c r="D51" s="214"/>
      <c r="E51" s="8"/>
    </row>
    <row r="52" spans="1:5" x14ac:dyDescent="0.3">
      <c r="A52" s="96"/>
      <c r="B52" s="139"/>
      <c r="C52" s="8"/>
      <c r="D52" s="214"/>
      <c r="E52" s="8"/>
    </row>
    <row r="53" spans="1:5" x14ac:dyDescent="0.3">
      <c r="A53" s="96"/>
      <c r="B53" s="139"/>
      <c r="C53" s="8"/>
      <c r="D53" s="214"/>
      <c r="E53" s="8"/>
    </row>
    <row r="54" spans="1:5" x14ac:dyDescent="0.3">
      <c r="A54" s="96"/>
      <c r="B54" s="139"/>
      <c r="C54" s="8"/>
      <c r="D54" s="214"/>
      <c r="E54" s="8"/>
    </row>
    <row r="55" spans="1:5" x14ac:dyDescent="0.3">
      <c r="A55" s="96"/>
      <c r="B55" s="139"/>
      <c r="C55" s="8"/>
      <c r="D55" s="214"/>
      <c r="E55" s="8"/>
    </row>
    <row r="56" spans="1:5" x14ac:dyDescent="0.3">
      <c r="A56" s="96"/>
      <c r="B56" s="139"/>
      <c r="C56" s="8"/>
      <c r="D56" s="214"/>
      <c r="E56" s="8"/>
    </row>
    <row r="57" spans="1:5" x14ac:dyDescent="0.3">
      <c r="A57" s="96"/>
      <c r="B57" s="139"/>
      <c r="C57" s="8"/>
      <c r="D57" s="214"/>
      <c r="E57" s="8"/>
    </row>
    <row r="58" spans="1:5" x14ac:dyDescent="0.3">
      <c r="A58" s="96"/>
      <c r="B58" s="139"/>
      <c r="C58" s="8"/>
      <c r="D58" s="214"/>
      <c r="E58" s="8"/>
    </row>
    <row r="59" spans="1:5" x14ac:dyDescent="0.3">
      <c r="A59" s="96"/>
      <c r="B59" s="139"/>
      <c r="C59" s="8"/>
      <c r="D59" s="214"/>
      <c r="E59" s="8"/>
    </row>
    <row r="60" spans="1:5" x14ac:dyDescent="0.3">
      <c r="A60" s="96"/>
      <c r="B60" s="139"/>
      <c r="C60" s="8"/>
      <c r="D60" s="214"/>
      <c r="E60" s="8"/>
    </row>
    <row r="61" spans="1:5" x14ac:dyDescent="0.3">
      <c r="A61" s="96"/>
      <c r="B61" s="139"/>
      <c r="C61" s="8"/>
      <c r="D61" s="214"/>
      <c r="E61" s="8"/>
    </row>
    <row r="62" spans="1:5" x14ac:dyDescent="0.3">
      <c r="A62" s="96"/>
      <c r="B62" s="139"/>
      <c r="C62" s="8"/>
      <c r="D62" s="214"/>
      <c r="E62" s="8"/>
    </row>
    <row r="63" spans="1:5" x14ac:dyDescent="0.3">
      <c r="A63" s="96"/>
      <c r="B63" s="139"/>
      <c r="C63" s="8"/>
      <c r="D63" s="214"/>
      <c r="E63" s="8"/>
    </row>
    <row r="64" spans="1:5" x14ac:dyDescent="0.3">
      <c r="A64" s="96"/>
      <c r="B64" s="139"/>
      <c r="C64" s="8"/>
      <c r="D64" s="214"/>
      <c r="E64" s="8"/>
    </row>
    <row r="65" spans="1:5" x14ac:dyDescent="0.3">
      <c r="A65" s="96"/>
      <c r="B65" s="139"/>
      <c r="C65" s="8"/>
      <c r="D65" s="214"/>
      <c r="E65" s="8"/>
    </row>
    <row r="66" spans="1:5" x14ac:dyDescent="0.3">
      <c r="A66" s="96"/>
      <c r="B66" s="139"/>
      <c r="C66" s="8"/>
      <c r="D66" s="214"/>
      <c r="E66" s="8"/>
    </row>
    <row r="67" spans="1:5" x14ac:dyDescent="0.3">
      <c r="A67" s="96"/>
      <c r="B67" s="139"/>
      <c r="C67" s="8"/>
      <c r="D67" s="214"/>
      <c r="E67" s="8"/>
    </row>
    <row r="68" spans="1:5" x14ac:dyDescent="0.3">
      <c r="A68" s="96"/>
      <c r="B68" s="139"/>
      <c r="C68" s="8"/>
      <c r="D68" s="214"/>
      <c r="E68" s="8"/>
    </row>
    <row r="69" spans="1:5" x14ac:dyDescent="0.3">
      <c r="A69" s="96"/>
      <c r="B69" s="139"/>
      <c r="C69" s="8"/>
      <c r="D69" s="214"/>
      <c r="E69" s="8"/>
    </row>
    <row r="70" spans="1:5" x14ac:dyDescent="0.3">
      <c r="A70" s="96"/>
      <c r="B70" s="139"/>
      <c r="C70" s="8"/>
      <c r="D70" s="214"/>
      <c r="E70" s="8"/>
    </row>
    <row r="71" spans="1:5" x14ac:dyDescent="0.3">
      <c r="A71" s="96"/>
      <c r="B71" s="139"/>
      <c r="C71" s="8"/>
      <c r="D71" s="214"/>
      <c r="E71" s="8"/>
    </row>
    <row r="72" spans="1:5" x14ac:dyDescent="0.3">
      <c r="A72" s="96"/>
      <c r="B72" s="139"/>
      <c r="C72" s="8"/>
      <c r="D72" s="214"/>
      <c r="E72" s="8"/>
    </row>
    <row r="73" spans="1:5" x14ac:dyDescent="0.3">
      <c r="A73" s="96"/>
      <c r="B73" s="139"/>
      <c r="C73" s="8"/>
      <c r="D73" s="214"/>
      <c r="E73" s="8"/>
    </row>
    <row r="74" spans="1:5" x14ac:dyDescent="0.3">
      <c r="A74" s="96"/>
      <c r="B74" s="139"/>
      <c r="C74" s="8"/>
      <c r="D74" s="214"/>
      <c r="E74" s="8"/>
    </row>
    <row r="75" spans="1:5" x14ac:dyDescent="0.3">
      <c r="A75" s="96"/>
      <c r="B75" s="139"/>
      <c r="C75" s="8"/>
      <c r="D75" s="214"/>
      <c r="E75" s="8"/>
    </row>
    <row r="76" spans="1:5" x14ac:dyDescent="0.3">
      <c r="A76" s="96"/>
      <c r="B76" s="139"/>
      <c r="C76" s="8"/>
      <c r="D76" s="214"/>
      <c r="E76" s="8"/>
    </row>
    <row r="77" spans="1:5" x14ac:dyDescent="0.3">
      <c r="A77" s="96"/>
      <c r="B77" s="139"/>
      <c r="C77" s="8"/>
      <c r="D77" s="214"/>
      <c r="E77" s="8"/>
    </row>
    <row r="78" spans="1:5" x14ac:dyDescent="0.3">
      <c r="A78" s="96"/>
      <c r="B78" s="139"/>
      <c r="C78" s="8"/>
      <c r="D78" s="214"/>
      <c r="E78" s="8"/>
    </row>
    <row r="79" spans="1:5" x14ac:dyDescent="0.3">
      <c r="A79" s="96"/>
      <c r="B79" s="139"/>
      <c r="C79" s="8"/>
      <c r="D79" s="214"/>
      <c r="E79" s="8"/>
    </row>
    <row r="80" spans="1:5" x14ac:dyDescent="0.3">
      <c r="A80" s="96"/>
      <c r="B80" s="139"/>
      <c r="C80" s="8"/>
      <c r="D80" s="214"/>
      <c r="E80" s="8"/>
    </row>
    <row r="81" spans="1:5" x14ac:dyDescent="0.3">
      <c r="A81" s="96"/>
      <c r="B81" s="139"/>
      <c r="C81" s="8"/>
      <c r="D81" s="214"/>
      <c r="E81" s="8"/>
    </row>
    <row r="82" spans="1:5" x14ac:dyDescent="0.3">
      <c r="A82" s="96"/>
      <c r="B82" s="139"/>
      <c r="C82" s="8"/>
      <c r="D82" s="214"/>
      <c r="E82" s="8"/>
    </row>
    <row r="83" spans="1:5" x14ac:dyDescent="0.3">
      <c r="A83" s="96"/>
      <c r="B83" s="139"/>
      <c r="C83" s="8"/>
      <c r="D83" s="214"/>
      <c r="E83" s="8"/>
    </row>
  </sheetData>
  <mergeCells count="12">
    <mergeCell ref="A27:A28"/>
    <mergeCell ref="A29:A30"/>
    <mergeCell ref="B1:E1"/>
    <mergeCell ref="A4:E4"/>
    <mergeCell ref="A5:A12"/>
    <mergeCell ref="A13:A19"/>
    <mergeCell ref="A20:A26"/>
    <mergeCell ref="A31:E31"/>
    <mergeCell ref="A32:A33"/>
    <mergeCell ref="A34:A37"/>
    <mergeCell ref="A38:A39"/>
    <mergeCell ref="A40:A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473E-23B9-45BC-A021-9C19F206CCC9}">
  <dimension ref="B1:H41"/>
  <sheetViews>
    <sheetView workbookViewId="0">
      <selection activeCell="G39" activeCellId="4" sqref="G15 F3 G25 G35 G39"/>
    </sheetView>
  </sheetViews>
  <sheetFormatPr defaultColWidth="9.109375" defaultRowHeight="14.4" x14ac:dyDescent="0.3"/>
  <cols>
    <col min="1" max="1" width="2.5546875" style="92" customWidth="1"/>
    <col min="2" max="2" width="12" style="92" customWidth="1"/>
    <col min="3" max="5" width="9.109375" style="92"/>
    <col min="6" max="6" width="16.44140625" style="92" customWidth="1"/>
    <col min="7" max="7" width="9.109375" style="92"/>
    <col min="8" max="8" width="3.44140625" style="256" customWidth="1"/>
    <col min="9" max="16384" width="9.109375" style="92"/>
  </cols>
  <sheetData>
    <row r="1" spans="2:7" ht="21" customHeight="1" x14ac:dyDescent="0.3">
      <c r="B1" s="253" t="s">
        <v>139</v>
      </c>
      <c r="C1" s="254"/>
      <c r="D1" s="254"/>
      <c r="E1" s="254"/>
      <c r="F1" s="255"/>
    </row>
    <row r="2" spans="2:7" ht="21" customHeight="1" x14ac:dyDescent="0.3">
      <c r="B2" s="87" t="s">
        <v>140</v>
      </c>
      <c r="C2" s="87" t="s">
        <v>141</v>
      </c>
      <c r="D2" s="87" t="s">
        <v>142</v>
      </c>
      <c r="E2" s="87" t="s">
        <v>143</v>
      </c>
      <c r="F2" s="87" t="s">
        <v>144</v>
      </c>
    </row>
    <row r="3" spans="2:7" ht="19.5" customHeight="1" x14ac:dyDescent="0.3">
      <c r="B3" s="99">
        <f>COUNTIFS(Security_Analysis!A:A,"*SEC*",Security_Analysis!B:B,"CRITICAL")</f>
        <v>6</v>
      </c>
      <c r="C3" s="102">
        <f>COUNTIFS(Security_Analysis!A:A,"*SEC*",Security_Analysis!B:B,"HIGH")</f>
        <v>11</v>
      </c>
      <c r="D3" s="105">
        <f>COUNTIFS(Security_Analysis!A:A,"*SEC*",Security_Analysis!B:B,"MEDIUM")</f>
        <v>9</v>
      </c>
      <c r="E3" s="108">
        <f>COUNTIFS(Security_Analysis!A:A,"*SEC*",Security_Analysis!B:B,"LOW")</f>
        <v>0</v>
      </c>
      <c r="F3" s="93">
        <f>SUM(B3:E3)</f>
        <v>26</v>
      </c>
    </row>
    <row r="4" spans="2:7" ht="4.5" customHeight="1" x14ac:dyDescent="0.3"/>
    <row r="5" spans="2:7" ht="21" customHeight="1" x14ac:dyDescent="0.3">
      <c r="B5" s="253" t="s">
        <v>145</v>
      </c>
      <c r="C5" s="254"/>
      <c r="D5" s="254"/>
      <c r="E5" s="254"/>
      <c r="F5" s="254"/>
      <c r="G5" s="255"/>
    </row>
    <row r="6" spans="2:7" ht="15.6" x14ac:dyDescent="0.3">
      <c r="B6" s="87" t="s">
        <v>146</v>
      </c>
      <c r="C6" s="87" t="s">
        <v>140</v>
      </c>
      <c r="D6" s="87" t="s">
        <v>141</v>
      </c>
      <c r="E6" s="87" t="s">
        <v>142</v>
      </c>
      <c r="F6" s="87" t="s">
        <v>143</v>
      </c>
      <c r="G6" s="87" t="s">
        <v>144</v>
      </c>
    </row>
    <row r="7" spans="2:7" x14ac:dyDescent="0.3">
      <c r="B7" s="90" t="s">
        <v>6</v>
      </c>
      <c r="C7" s="99">
        <f>COUNTIFS(Performance_Analysis!A:A,"*PERF-DB*",Performance_Analysis!B:B,"CRITICAL")</f>
        <v>6</v>
      </c>
      <c r="D7" s="102">
        <f>COUNTIFS(Performance_Analysis!A:A,"*PERF-DB*",Performance_Analysis!B:B,"HIGH")</f>
        <v>9</v>
      </c>
      <c r="E7" s="105">
        <f>COUNTIFS(Performance_Analysis!A:A,"*PERF-DB*",Performance_Analysis!B:B,"MEDIUM")</f>
        <v>12</v>
      </c>
      <c r="F7" s="108">
        <f>COUNTIFS(Performance_Analysis!A:A,"*PERF-DB*",Performance_Analysis!B:B,"LOW")</f>
        <v>4</v>
      </c>
      <c r="G7" s="93">
        <f t="shared" ref="G7:G15" si="0">SUM(C7:F7)</f>
        <v>31</v>
      </c>
    </row>
    <row r="8" spans="2:7" x14ac:dyDescent="0.3">
      <c r="B8" s="90" t="s">
        <v>8</v>
      </c>
      <c r="C8" s="99">
        <f>COUNTIFS(Performance_Analysis!A:A,"*PERF-MB*",Performance_Analysis!B:B,"CRITICAL")</f>
        <v>2</v>
      </c>
      <c r="D8" s="102">
        <f>COUNTIFS(Performance_Analysis!A:A,"*PERF-MB*",Performance_Analysis!B:B,"HIGH")</f>
        <v>7</v>
      </c>
      <c r="E8" s="105">
        <f>COUNTIFS(Performance_Analysis!A:A,"*PERF-MB*",Performance_Analysis!B:B,"MEDIUM")</f>
        <v>6</v>
      </c>
      <c r="F8" s="108">
        <f>COUNTIFS(Performance_Analysis!A:A,"*PERF-MB*",Performance_Analysis!B:B,"LOW")</f>
        <v>0</v>
      </c>
      <c r="G8" s="93">
        <f t="shared" si="0"/>
        <v>15</v>
      </c>
    </row>
    <row r="9" spans="2:7" x14ac:dyDescent="0.3">
      <c r="B9" s="90" t="s">
        <v>10</v>
      </c>
      <c r="C9" s="99">
        <f>COUNTIFS(Performance_Analysis!A:A,"*PERF-DF*",Performance_Analysis!B:B,"CRITICAL")</f>
        <v>2</v>
      </c>
      <c r="D9" s="102">
        <f>COUNTIFS(Performance_Analysis!A:A,"*PERF-DF*",Performance_Analysis!B:B,"HIGH")</f>
        <v>8</v>
      </c>
      <c r="E9" s="105">
        <f>COUNTIFS(Performance_Analysis!A:A,"*PERF-DF*",Performance_Analysis!B:B,"MEDIUM")</f>
        <v>4</v>
      </c>
      <c r="F9" s="108">
        <f>COUNTIFS(Performance_Analysis!A:A,"*PERF-DF*",Performance_Analysis!B:B,"LOW")</f>
        <v>1</v>
      </c>
      <c r="G9" s="93">
        <f t="shared" si="0"/>
        <v>15</v>
      </c>
    </row>
    <row r="10" spans="2:7" x14ac:dyDescent="0.3">
      <c r="B10" s="90" t="s">
        <v>12</v>
      </c>
      <c r="C10" s="99">
        <f>COUNTIFS(Performance_Analysis!A:A,"*PERF-MP*",Performance_Analysis!B:B,"CRITICAL")</f>
        <v>1</v>
      </c>
      <c r="D10" s="102">
        <f>COUNTIFS(Performance_Analysis!A:A,"*PERF-MP*",Performance_Analysis!B:B,"HIGH")</f>
        <v>7</v>
      </c>
      <c r="E10" s="105">
        <f>COUNTIFS(Performance_Analysis!A:A,"*PERF-MP*",Performance_Analysis!B:B,"MEDIUM")</f>
        <v>6</v>
      </c>
      <c r="F10" s="108">
        <f>COUNTIFS(Performance_Analysis!A:A,"*PERF-MP*",Performance_Analysis!B:B,"LOW")</f>
        <v>0</v>
      </c>
      <c r="G10" s="93">
        <f t="shared" si="0"/>
        <v>14</v>
      </c>
    </row>
    <row r="11" spans="2:7" x14ac:dyDescent="0.3">
      <c r="B11" s="90" t="s">
        <v>14</v>
      </c>
      <c r="C11" s="99">
        <f>COUNTIFS(Performance_Analysis!A:A,"*PERF-MD*",Performance_Analysis!B:B,"CRITICAL")</f>
        <v>2</v>
      </c>
      <c r="D11" s="102">
        <f>COUNTIFS(Performance_Analysis!A:A,"*PERF-MD*",Performance_Analysis!B:B,"HIGH")</f>
        <v>7</v>
      </c>
      <c r="E11" s="105">
        <f>COUNTIFS(Performance_Analysis!A:A,"*PERF-MD*",Performance_Analysis!B:B,"MEDIUM")</f>
        <v>5</v>
      </c>
      <c r="F11" s="108">
        <f>COUNTIFS(Performance_Analysis!A:A,"*PERF-MD*",Performance_Analysis!B:B,"LOW")</f>
        <v>1</v>
      </c>
      <c r="G11" s="93">
        <f t="shared" si="0"/>
        <v>15</v>
      </c>
    </row>
    <row r="12" spans="2:7" x14ac:dyDescent="0.3">
      <c r="B12" s="90" t="s">
        <v>16</v>
      </c>
      <c r="C12" s="99">
        <f>COUNTIFS(Performance_Analysis!A:A,"*PERF-SA*",Performance_Analysis!B:B,"CRITICAL")</f>
        <v>2</v>
      </c>
      <c r="D12" s="102">
        <f>COUNTIFS(Performance_Analysis!A:A,"*PERF-SA*",Performance_Analysis!B:B,"HIGH")</f>
        <v>4</v>
      </c>
      <c r="E12" s="105">
        <f>COUNTIFS(Performance_Analysis!A:A,"*PERF-SA*",Performance_Analysis!B:B,"MEDIUM")</f>
        <v>3</v>
      </c>
      <c r="F12" s="108">
        <f>COUNTIFS(Performance_Analysis!A:A,"*PERF-SA*",Performance_Analysis!B:B,"LOW")</f>
        <v>3</v>
      </c>
      <c r="G12" s="93">
        <f t="shared" si="0"/>
        <v>12</v>
      </c>
    </row>
    <row r="13" spans="2:7" x14ac:dyDescent="0.3">
      <c r="B13" s="90" t="s">
        <v>18</v>
      </c>
      <c r="C13" s="99">
        <f>COUNTIFS(Performance_Analysis!A:A,"*PERF-CR*",Performance_Analysis!B:B,"CRITICAL")</f>
        <v>2</v>
      </c>
      <c r="D13" s="102">
        <f>COUNTIFS(Performance_Analysis!A:A,"*PERF-CR*",Performance_Analysis!B:B,"HIGH")</f>
        <v>2</v>
      </c>
      <c r="E13" s="105">
        <f>COUNTIFS(Performance_Analysis!A:A,"*PERF-CR*",Performance_Analysis!B:B,"MEDIUM")</f>
        <v>2</v>
      </c>
      <c r="F13" s="108">
        <f>COUNTIFS(Performance_Analysis!A:A,"*PERF-CR*",Performance_Analysis!B:B,"LOW")</f>
        <v>1</v>
      </c>
      <c r="G13" s="93">
        <f t="shared" si="0"/>
        <v>7</v>
      </c>
    </row>
    <row r="14" spans="2:7" x14ac:dyDescent="0.3">
      <c r="B14" s="91" t="s">
        <v>20</v>
      </c>
      <c r="C14" s="100">
        <f>COUNTIFS(Performance_Analysis!A:A,"*PERF-NTH*",Performance_Analysis!B:B,"CRITICAL")</f>
        <v>0</v>
      </c>
      <c r="D14" s="103">
        <f>COUNTIFS(Performance_Analysis!A:A,"*PERF-NTH*",Performance_Analysis!B:B,"HIGH")</f>
        <v>0</v>
      </c>
      <c r="E14" s="106">
        <f>COUNTIFS(Performance_Analysis!A:A,"*PERF-NTH*",Performance_Analysis!B:B,"MEDIUM")</f>
        <v>0</v>
      </c>
      <c r="F14" s="109">
        <f>COUNTIFS(Performance_Analysis!A:A,"*PERF-NTH*",Performance_Analysis!B:B,"LOW")</f>
        <v>10</v>
      </c>
      <c r="G14" s="94">
        <f t="shared" si="0"/>
        <v>10</v>
      </c>
    </row>
    <row r="15" spans="2:7" x14ac:dyDescent="0.3">
      <c r="B15" s="98" t="s">
        <v>147</v>
      </c>
      <c r="C15" s="101">
        <f>SUM(C7:C14)</f>
        <v>17</v>
      </c>
      <c r="D15" s="104">
        <f>SUM(D7:D14)</f>
        <v>44</v>
      </c>
      <c r="E15" s="107">
        <f>SUM(E7:E14)</f>
        <v>38</v>
      </c>
      <c r="F15" s="110">
        <f>SUM(F7:F14)</f>
        <v>20</v>
      </c>
      <c r="G15" s="95">
        <f t="shared" si="0"/>
        <v>119</v>
      </c>
    </row>
    <row r="16" spans="2:7" ht="5.25" customHeight="1" x14ac:dyDescent="0.3"/>
    <row r="17" spans="2:7" ht="21" customHeight="1" x14ac:dyDescent="0.3">
      <c r="B17" s="257" t="s">
        <v>148</v>
      </c>
      <c r="C17" s="257"/>
      <c r="D17" s="257"/>
      <c r="E17" s="257"/>
      <c r="F17" s="257"/>
      <c r="G17" s="257"/>
    </row>
    <row r="18" spans="2:7" ht="15.6" x14ac:dyDescent="0.3">
      <c r="B18" s="87" t="s">
        <v>146</v>
      </c>
      <c r="C18" s="87" t="s">
        <v>140</v>
      </c>
      <c r="D18" s="87" t="s">
        <v>141</v>
      </c>
      <c r="E18" s="87" t="s">
        <v>142</v>
      </c>
      <c r="F18" s="87" t="s">
        <v>143</v>
      </c>
      <c r="G18" s="87" t="s">
        <v>144</v>
      </c>
    </row>
    <row r="19" spans="2:7" x14ac:dyDescent="0.3">
      <c r="B19" s="96" t="s">
        <v>16</v>
      </c>
      <c r="C19" s="99">
        <f>COUNTIFS('UI-UX_Analysis'!A:A,"*UIUX-SA*",'UI-UX_Analysis'!B:B,"CRITICAL")</f>
        <v>1</v>
      </c>
      <c r="D19" s="102">
        <f>COUNTIFS('UI-UX_Analysis'!A:A,"*UIUX-SA*",'UI-UX_Analysis'!B:B,"HIGH")</f>
        <v>7</v>
      </c>
      <c r="E19" s="105">
        <f>COUNTIFS('UI-UX_Analysis'!A:A,"*UIUX-SA*",'UI-UX_Analysis'!B:B,"MEDIUM")</f>
        <v>9</v>
      </c>
      <c r="F19" s="108">
        <f>COUNTIFS('UI-UX_Analysis'!A:A,"*UIUX-SA*",'UI-UX_Analysis'!B:B,"LOW")</f>
        <v>9</v>
      </c>
      <c r="G19" s="93">
        <f t="shared" ref="G19:G25" si="1">SUM(C19:F19)</f>
        <v>26</v>
      </c>
    </row>
    <row r="20" spans="2:7" x14ac:dyDescent="0.3">
      <c r="B20" s="96" t="s">
        <v>14</v>
      </c>
      <c r="C20" s="99">
        <f>COUNTIFS('UI-UX_Analysis'!A:A,"*UIUX-MD*",'UI-UX_Analysis'!B:B,"CRITICAL")</f>
        <v>1</v>
      </c>
      <c r="D20" s="102">
        <f>COUNTIFS('UI-UX_Analysis'!A:A,"*UIUX-MD*",'UI-UX_Analysis'!B:B,"HIGH")</f>
        <v>21</v>
      </c>
      <c r="E20" s="105">
        <f>COUNTIFS('UI-UX_Analysis'!A:A,"*UIUX-MD*",'UI-UX_Analysis'!B:B,"MEDIUM")</f>
        <v>11</v>
      </c>
      <c r="F20" s="108">
        <f>COUNTIFS('UI-UX_Analysis'!A:A,"*UIUX-MD*",'UI-UX_Analysis'!B:B,"LOW")</f>
        <v>5</v>
      </c>
      <c r="G20" s="93">
        <f t="shared" si="1"/>
        <v>38</v>
      </c>
    </row>
    <row r="21" spans="2:7" x14ac:dyDescent="0.3">
      <c r="B21" s="96" t="s">
        <v>12</v>
      </c>
      <c r="C21" s="99">
        <f>COUNTIFS('UI-UX_Analysis'!A:A,"*UIUX-MP*",'UI-UX_Analysis'!B:B,"CRITICAL")</f>
        <v>2</v>
      </c>
      <c r="D21" s="102">
        <f>COUNTIFS('UI-UX_Analysis'!A:A,"*UIUX-MP*",'UI-UX_Analysis'!B:B,"HIGH")</f>
        <v>8</v>
      </c>
      <c r="E21" s="105">
        <f>COUNTIFS('UI-UX_Analysis'!A:A,"*UIUX-MP*",'UI-UX_Analysis'!B:B,"MEDIUM")</f>
        <v>8</v>
      </c>
      <c r="F21" s="108">
        <f>COUNTIFS('UI-UX_Analysis'!A:A,"*UIUX-MP*",'UI-UX_Analysis'!B:B,"LOW")</f>
        <v>19</v>
      </c>
      <c r="G21" s="93">
        <f t="shared" si="1"/>
        <v>37</v>
      </c>
    </row>
    <row r="22" spans="2:7" x14ac:dyDescent="0.3">
      <c r="B22" s="96" t="s">
        <v>10</v>
      </c>
      <c r="C22" s="99">
        <f>COUNTIFS('UI-UX_Analysis'!A:A,"*UIUX-DF*",'UI-UX_Analysis'!B:B,"CRITICAL")</f>
        <v>1</v>
      </c>
      <c r="D22" s="102">
        <f>COUNTIFS('UI-UX_Analysis'!A:A,"*UIUX-DF*",'UI-UX_Analysis'!B:B,"HIGH")</f>
        <v>12</v>
      </c>
      <c r="E22" s="105">
        <f>COUNTIFS('UI-UX_Analysis'!A:A,"*UIUX-DF*",'UI-UX_Analysis'!B:B,"MEDIUM")</f>
        <v>20</v>
      </c>
      <c r="F22" s="108">
        <f>COUNTIFS('UI-UX_Analysis'!A:A,"*UIUX-DF*",'UI-UX_Analysis'!B:B,"LOW")</f>
        <v>6</v>
      </c>
      <c r="G22" s="93">
        <f t="shared" si="1"/>
        <v>39</v>
      </c>
    </row>
    <row r="23" spans="2:7" x14ac:dyDescent="0.3">
      <c r="B23" s="96" t="s">
        <v>6</v>
      </c>
      <c r="C23" s="99">
        <f>COUNTIFS('UI-UX_Analysis'!A:A,"*UIUX-DB*",'UI-UX_Analysis'!B:B,"CRITICAL")</f>
        <v>0</v>
      </c>
      <c r="D23" s="102">
        <f>COUNTIFS('UI-UX_Analysis'!A:A,"*UIUX-DB*",'UI-UX_Analysis'!B:B,"HIGH")</f>
        <v>6</v>
      </c>
      <c r="E23" s="105">
        <f>COUNTIFS('UI-UX_Analysis'!A:A,"*UIUX-DB*",'UI-UX_Analysis'!B:B,"MEDIUM")</f>
        <v>14</v>
      </c>
      <c r="F23" s="108">
        <f>COUNTIFS('UI-UX_Analysis'!A:A,"*UIUX-DB*",'UI-UX_Analysis'!B:B,"LOW")</f>
        <v>6</v>
      </c>
      <c r="G23" s="93">
        <f t="shared" si="1"/>
        <v>26</v>
      </c>
    </row>
    <row r="24" spans="2:7" x14ac:dyDescent="0.3">
      <c r="B24" s="96" t="s">
        <v>8</v>
      </c>
      <c r="C24" s="99">
        <f>COUNTIFS('UI-UX_Analysis'!A:A,"*UIUX-MB*",'UI-UX_Analysis'!B:B,"CRITICAL")</f>
        <v>0</v>
      </c>
      <c r="D24" s="102">
        <f>COUNTIFS('UI-UX_Analysis'!A:A,"*UIUX-MB*",'UI-UX_Analysis'!B:B,"HIGH")</f>
        <v>8</v>
      </c>
      <c r="E24" s="105">
        <f>COUNTIFS('UI-UX_Analysis'!A:A,"*UIUX-MB*",'UI-UX_Analysis'!B:B,"MEDIUM")</f>
        <v>14</v>
      </c>
      <c r="F24" s="108">
        <f>COUNTIFS('UI-UX_Analysis'!A:A,"*UIUX-MB*",'UI-UX_Analysis'!B:B,"LOW")</f>
        <v>4</v>
      </c>
      <c r="G24" s="93">
        <f t="shared" si="1"/>
        <v>26</v>
      </c>
    </row>
    <row r="25" spans="2:7" x14ac:dyDescent="0.3">
      <c r="B25" s="96" t="s">
        <v>144</v>
      </c>
      <c r="C25" s="99">
        <f>SUM(C19:C23)</f>
        <v>5</v>
      </c>
      <c r="D25" s="102">
        <f>SUM(D19:D23)</f>
        <v>54</v>
      </c>
      <c r="E25" s="105">
        <f>SUM(E19:E23)</f>
        <v>62</v>
      </c>
      <c r="F25" s="108">
        <f>SUM(F19:F23)</f>
        <v>45</v>
      </c>
      <c r="G25" s="93">
        <f t="shared" si="1"/>
        <v>166</v>
      </c>
    </row>
    <row r="26" spans="2:7" ht="3.75" customHeight="1" x14ac:dyDescent="0.3"/>
    <row r="27" spans="2:7" ht="21" customHeight="1" x14ac:dyDescent="0.3">
      <c r="B27" s="257" t="s">
        <v>149</v>
      </c>
      <c r="C27" s="257"/>
      <c r="D27" s="257"/>
      <c r="E27" s="257"/>
      <c r="F27" s="257"/>
      <c r="G27" s="257"/>
    </row>
    <row r="28" spans="2:7" ht="15.6" x14ac:dyDescent="0.3">
      <c r="B28" s="87" t="s">
        <v>146</v>
      </c>
      <c r="C28" s="87" t="s">
        <v>140</v>
      </c>
      <c r="D28" s="87" t="s">
        <v>141</v>
      </c>
      <c r="E28" s="87" t="s">
        <v>142</v>
      </c>
      <c r="F28" s="87" t="s">
        <v>143</v>
      </c>
      <c r="G28" s="87" t="s">
        <v>144</v>
      </c>
    </row>
    <row r="29" spans="2:7" x14ac:dyDescent="0.3">
      <c r="B29" s="96" t="s">
        <v>16</v>
      </c>
      <c r="C29" s="99">
        <f>COUNTIFS('Bugs&amp;CodeQuality_Analysis'!A:A,"*BUGS-SA*",'Bugs&amp;CodeQuality_Analysis'!B:B,"CRITICAL")</f>
        <v>5</v>
      </c>
      <c r="D29" s="102">
        <f>COUNTIFS('Bugs&amp;CodeQuality_Analysis'!A:A,"*BUGS-SA*",'Bugs&amp;CodeQuality_Analysis'!B:B,"HIGH")</f>
        <v>4</v>
      </c>
      <c r="E29" s="105">
        <f>COUNTIFS('Bugs&amp;CodeQuality_Analysis'!A:A,"*BUGS-SA*",'Bugs&amp;CodeQuality_Analysis'!B:B,"MEDIUM")</f>
        <v>5</v>
      </c>
      <c r="F29" s="108">
        <f>COUNTIFS('Bugs&amp;CodeQuality_Analysis'!A:A,"*BUGS-SA*",'Bugs&amp;CodeQuality_Analysis'!B:B,"LOW")</f>
        <v>11</v>
      </c>
      <c r="G29" s="93">
        <f t="shared" ref="G29:G35" si="2">SUM(C29:F29)</f>
        <v>25</v>
      </c>
    </row>
    <row r="30" spans="2:7" x14ac:dyDescent="0.3">
      <c r="B30" s="96" t="s">
        <v>12</v>
      </c>
      <c r="C30" s="99">
        <f>COUNTIFS('Bugs&amp;CodeQuality_Analysis'!A:A,"*BUGS-MP*",'Bugs&amp;CodeQuality_Analysis'!B:B,"CRITICAL")</f>
        <v>3</v>
      </c>
      <c r="D30" s="102">
        <f>COUNTIFS('Bugs&amp;CodeQuality_Analysis'!A:A,"*BUGS-MP*",'Bugs&amp;CodeQuality_Analysis'!B:B,"HIGH")</f>
        <v>10</v>
      </c>
      <c r="E30" s="105">
        <f>COUNTIFS('Bugs&amp;CodeQuality_Analysis'!A:A,"*BUGS-MP*",'Bugs&amp;CodeQuality_Analysis'!B:B,"MEDIUM")</f>
        <v>13</v>
      </c>
      <c r="F30" s="108">
        <f>COUNTIFS('Bugs&amp;CodeQuality_Analysis'!A:A,"*BUGS-MP*",'Bugs&amp;CodeQuality_Analysis'!B:B,"LOW")</f>
        <v>10</v>
      </c>
      <c r="G30" s="93">
        <f t="shared" si="2"/>
        <v>36</v>
      </c>
    </row>
    <row r="31" spans="2:7" x14ac:dyDescent="0.3">
      <c r="B31" s="96" t="s">
        <v>14</v>
      </c>
      <c r="C31" s="99">
        <f>COUNTIFS('Bugs&amp;CodeQuality_Analysis'!A:A,"*BUGS-MD*",'Bugs&amp;CodeQuality_Analysis'!B:B,"CRITICAL")</f>
        <v>1</v>
      </c>
      <c r="D31" s="102">
        <f>COUNTIFS('Bugs&amp;CodeQuality_Analysis'!A:A,"*BUGS-MD*",'Bugs&amp;CodeQuality_Analysis'!B:B,"HIGH")</f>
        <v>15</v>
      </c>
      <c r="E31" s="105">
        <f>COUNTIFS('Bugs&amp;CodeQuality_Analysis'!A:A,"*BUGS-MD*",'Bugs&amp;CodeQuality_Analysis'!B:B,"MEDIUM")</f>
        <v>4</v>
      </c>
      <c r="F31" s="108">
        <f>COUNTIFS('Bugs&amp;CodeQuality_Analysis'!A:A,"*BUGS-MD*",'Bugs&amp;CodeQuality_Analysis'!B:B,"LOW")</f>
        <v>0</v>
      </c>
      <c r="G31" s="93">
        <f t="shared" si="2"/>
        <v>20</v>
      </c>
    </row>
    <row r="32" spans="2:7" x14ac:dyDescent="0.3">
      <c r="B32" s="96" t="s">
        <v>10</v>
      </c>
      <c r="C32" s="99">
        <f>COUNTIFS('Bugs&amp;CodeQuality_Analysis'!A:A,"*BUGS-DF*",'Bugs&amp;CodeQuality_Analysis'!B:B,"CRITICAL")</f>
        <v>0</v>
      </c>
      <c r="D32" s="102">
        <f>COUNTIFS('Bugs&amp;CodeQuality_Analysis'!A:A,"*BUGS-DF*",'Bugs&amp;CodeQuality_Analysis'!B:B,"HIGH")</f>
        <v>4</v>
      </c>
      <c r="E32" s="105">
        <f>COUNTIFS('Bugs&amp;CodeQuality_Analysis'!A:A,"*BUGS-DF*",'Bugs&amp;CodeQuality_Analysis'!B:B,"MEDIUM")</f>
        <v>14</v>
      </c>
      <c r="F32" s="108">
        <f>COUNTIFS('Bugs&amp;CodeQuality_Analysis'!A:A,"*BUGS-DF*",'Bugs&amp;CodeQuality_Analysis'!B:B,"LOW")</f>
        <v>11</v>
      </c>
      <c r="G32" s="93">
        <f t="shared" si="2"/>
        <v>29</v>
      </c>
    </row>
    <row r="33" spans="2:7" x14ac:dyDescent="0.3">
      <c r="B33" s="96" t="s">
        <v>6</v>
      </c>
      <c r="C33" s="99">
        <f>COUNTIFS('Bugs&amp;CodeQuality_Analysis'!A:A,"*BUGS-DB*",'Bugs&amp;CodeQuality_Analysis'!B:B,"CRITICAL")</f>
        <v>2</v>
      </c>
      <c r="D33" s="102">
        <f>COUNTIFS('Bugs&amp;CodeQuality_Analysis'!A:A,"*BUGS-DB*",'Bugs&amp;CodeQuality_Analysis'!B:B,"HIGH")</f>
        <v>6</v>
      </c>
      <c r="E33" s="105">
        <f>COUNTIFS('Bugs&amp;CodeQuality_Analysis'!A:A,"*BUGS-DB*",'Bugs&amp;CodeQuality_Analysis'!B:B,"MEDIUM")</f>
        <v>5</v>
      </c>
      <c r="F33" s="108">
        <f>COUNTIFS('Bugs&amp;CodeQuality_Analysis'!A:A,"*BUGS-DB*",'Bugs&amp;CodeQuality_Analysis'!B:B,"LOW")</f>
        <v>2</v>
      </c>
      <c r="G33" s="93">
        <f t="shared" si="2"/>
        <v>15</v>
      </c>
    </row>
    <row r="34" spans="2:7" x14ac:dyDescent="0.3">
      <c r="B34" s="96" t="s">
        <v>8</v>
      </c>
      <c r="C34" s="99">
        <f>COUNTIFS('Bugs&amp;CodeQuality_Analysis'!A:A,"*BUGS-MB*",'Bugs&amp;CodeQuality_Analysis'!B:B,"CRITICAL")</f>
        <v>1</v>
      </c>
      <c r="D34" s="102">
        <f>COUNTIFS('Bugs&amp;CodeQuality_Analysis'!A:A,"*BUGS-MB*",'Bugs&amp;CodeQuality_Analysis'!B:B,"HIGH")</f>
        <v>3</v>
      </c>
      <c r="E34" s="105">
        <f>COUNTIFS('Bugs&amp;CodeQuality_Analysis'!A:A,"*BUGS-MB*",'Bugs&amp;CodeQuality_Analysis'!B:B,"MEDIUM")</f>
        <v>4</v>
      </c>
      <c r="F34" s="108">
        <f>COUNTIFS('Bugs&amp;CodeQuality_Analysis'!A:A,"*BUGS-MB*",'Bugs&amp;CodeQuality_Analysis'!B:B,"LOW")</f>
        <v>0</v>
      </c>
      <c r="G34" s="93">
        <f t="shared" si="2"/>
        <v>8</v>
      </c>
    </row>
    <row r="35" spans="2:7" x14ac:dyDescent="0.3">
      <c r="B35" s="96" t="s">
        <v>144</v>
      </c>
      <c r="C35" s="99">
        <f>SUM(C29:C33)</f>
        <v>11</v>
      </c>
      <c r="D35" s="102">
        <f>SUM(D29:D33)</f>
        <v>39</v>
      </c>
      <c r="E35" s="105">
        <f>SUM(E29:E33)</f>
        <v>41</v>
      </c>
      <c r="F35" s="108">
        <f>SUM(F29:F33)</f>
        <v>34</v>
      </c>
      <c r="G35" s="93">
        <f t="shared" si="2"/>
        <v>125</v>
      </c>
    </row>
    <row r="37" spans="2:7" ht="21" customHeight="1" x14ac:dyDescent="0.3">
      <c r="B37" s="253" t="s">
        <v>150</v>
      </c>
      <c r="C37" s="254"/>
      <c r="D37" s="254"/>
      <c r="E37" s="254"/>
      <c r="F37" s="255"/>
      <c r="G37" s="97"/>
    </row>
    <row r="38" spans="2:7" ht="15.6" x14ac:dyDescent="0.3">
      <c r="C38" s="111" t="s">
        <v>140</v>
      </c>
      <c r="D38" s="111" t="s">
        <v>141</v>
      </c>
      <c r="E38" s="111" t="s">
        <v>142</v>
      </c>
      <c r="F38" s="111" t="s">
        <v>143</v>
      </c>
      <c r="G38" s="111" t="s">
        <v>144</v>
      </c>
    </row>
    <row r="39" spans="2:7" x14ac:dyDescent="0.3">
      <c r="C39" s="99">
        <f>COUNTIFS(AWS_Audit!A:A,"*AWS*",AWS_Audit!B:B,"CRITICAL")</f>
        <v>13</v>
      </c>
      <c r="D39" s="102">
        <f>COUNTIFS(AWS_Audit!A:A,"*AWS*",AWS_Audit!B:B,"HIGH")</f>
        <v>10</v>
      </c>
      <c r="E39" s="105">
        <f>COUNTIFS(AWS_Audit!A:A,"*AWS*",AWS_Audit!B:B,"MEDIUM")</f>
        <v>5</v>
      </c>
      <c r="F39" s="108">
        <f>COUNTIFS(AWS_Audit!A:A,"*AWS*",AWS_Audit!B:B,"LOW")</f>
        <v>1</v>
      </c>
      <c r="G39" s="93">
        <f>SUM(C39:F39)</f>
        <v>29</v>
      </c>
    </row>
    <row r="41" spans="2:7" x14ac:dyDescent="0.3">
      <c r="B41" s="92" t="s">
        <v>151</v>
      </c>
      <c r="G41" s="92">
        <f>SUM(F3,G15,G25,G35,G39)</f>
        <v>465</v>
      </c>
    </row>
  </sheetData>
  <mergeCells count="6">
    <mergeCell ref="B37:F37"/>
    <mergeCell ref="H1:H1048576"/>
    <mergeCell ref="B1:F1"/>
    <mergeCell ref="B5:G5"/>
    <mergeCell ref="B17:G17"/>
    <mergeCell ref="B27:G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8"/>
  <sheetViews>
    <sheetView zoomScaleNormal="100" workbookViewId="0">
      <pane xSplit="4" ySplit="2" topLeftCell="I27" activePane="bottomRight" state="frozen"/>
      <selection pane="topRight"/>
      <selection pane="bottomLeft"/>
      <selection pane="bottomRight" activeCell="L1" activeCellId="5" sqref="A1:A1048576 C1:C1048576 D1:D1048576 F1:F1048576 K1:K1048576 L1:L1048576"/>
    </sheetView>
  </sheetViews>
  <sheetFormatPr defaultColWidth="8.5546875" defaultRowHeight="15" customHeight="1" x14ac:dyDescent="0.3"/>
  <cols>
    <col min="1" max="1" width="8.33203125" style="1" bestFit="1" customWidth="1"/>
    <col min="2" max="2" width="10.44140625" style="1" customWidth="1"/>
    <col min="3" max="3" width="14.88671875" style="1" customWidth="1"/>
    <col min="4" max="4" width="34.5546875" style="2" customWidth="1"/>
    <col min="5" max="5" width="40.6640625" style="2" customWidth="1"/>
    <col min="6" max="6" width="35.33203125" style="2" customWidth="1"/>
    <col min="7" max="7" width="21.5546875" style="2" customWidth="1"/>
    <col min="8" max="8" width="21.33203125" style="2" customWidth="1"/>
    <col min="9" max="10" width="18.109375" style="2" customWidth="1"/>
    <col min="11" max="11" width="18.109375" style="167" customWidth="1"/>
    <col min="12" max="12" width="15.109375" style="2" customWidth="1"/>
    <col min="13" max="13" width="75.88671875" style="2" customWidth="1"/>
    <col min="14" max="14" width="22.88671875" style="2" customWidth="1"/>
    <col min="15" max="15" width="25.5546875" style="2" customWidth="1"/>
    <col min="16" max="16" width="21.6640625" style="2" customWidth="1"/>
    <col min="17" max="17" width="45.88671875" style="2" customWidth="1"/>
    <col min="18" max="18" width="67.44140625" style="2" customWidth="1"/>
    <col min="19" max="19" width="19.88671875" style="2" customWidth="1"/>
    <col min="20" max="20" width="46.33203125" style="2" customWidth="1"/>
    <col min="21" max="16384" width="8.5546875" style="2"/>
  </cols>
  <sheetData>
    <row r="1" spans="1:20" s="17" customFormat="1" ht="42.75" customHeight="1" x14ac:dyDescent="0.55000000000000004">
      <c r="A1" s="261" t="s">
        <v>152</v>
      </c>
      <c r="B1" s="262"/>
      <c r="C1" s="262"/>
      <c r="D1" s="262"/>
      <c r="E1" s="262"/>
      <c r="F1" s="262"/>
      <c r="G1" s="262"/>
      <c r="H1" s="262"/>
      <c r="I1" s="262"/>
      <c r="J1" s="263"/>
      <c r="K1" s="263"/>
      <c r="L1" s="262"/>
      <c r="M1" s="258" t="s">
        <v>153</v>
      </c>
      <c r="N1" s="259"/>
      <c r="O1" s="259"/>
      <c r="P1" s="260"/>
      <c r="Q1" s="264" t="s">
        <v>152</v>
      </c>
      <c r="R1" s="265"/>
      <c r="S1" s="266"/>
      <c r="T1" s="16"/>
    </row>
    <row r="2" spans="1:20" s="3" customFormat="1" ht="18" x14ac:dyDescent="0.3">
      <c r="A2" s="5" t="s">
        <v>60</v>
      </c>
      <c r="B2" s="19" t="s">
        <v>154</v>
      </c>
      <c r="C2" s="5" t="s">
        <v>1</v>
      </c>
      <c r="D2" s="5" t="s">
        <v>61</v>
      </c>
      <c r="E2" s="5" t="s">
        <v>155</v>
      </c>
      <c r="F2" s="5" t="s">
        <v>25</v>
      </c>
      <c r="G2" s="5" t="s">
        <v>156</v>
      </c>
      <c r="H2" s="5" t="s">
        <v>157</v>
      </c>
      <c r="I2" s="5" t="s">
        <v>158</v>
      </c>
      <c r="J2" s="73" t="s">
        <v>159</v>
      </c>
      <c r="K2" s="166" t="s">
        <v>62</v>
      </c>
      <c r="L2" s="5" t="s">
        <v>23</v>
      </c>
      <c r="M2" s="6" t="s">
        <v>160</v>
      </c>
      <c r="N2" s="4" t="s">
        <v>161</v>
      </c>
      <c r="O2" s="4" t="s">
        <v>162</v>
      </c>
      <c r="P2" s="4" t="s">
        <v>163</v>
      </c>
      <c r="Q2" s="10" t="s">
        <v>164</v>
      </c>
      <c r="R2" s="11" t="s">
        <v>165</v>
      </c>
      <c r="S2" s="11" t="s">
        <v>163</v>
      </c>
      <c r="T2" s="4" t="s">
        <v>166</v>
      </c>
    </row>
    <row r="3" spans="1:20" ht="94.5" customHeight="1" x14ac:dyDescent="0.3">
      <c r="A3" s="112" t="s">
        <v>64</v>
      </c>
      <c r="B3" s="20" t="s">
        <v>167</v>
      </c>
      <c r="C3" s="68" t="s">
        <v>168</v>
      </c>
      <c r="D3" s="113" t="s">
        <v>65</v>
      </c>
      <c r="E3" s="113" t="s">
        <v>169</v>
      </c>
      <c r="F3" s="113" t="s">
        <v>170</v>
      </c>
      <c r="G3" s="113" t="s">
        <v>171</v>
      </c>
      <c r="H3" s="68" t="s">
        <v>172</v>
      </c>
      <c r="I3" s="68" t="s">
        <v>173</v>
      </c>
      <c r="J3" s="122">
        <v>45963</v>
      </c>
      <c r="K3" s="164">
        <v>3</v>
      </c>
      <c r="L3" s="126">
        <v>1</v>
      </c>
      <c r="M3" s="113" t="s">
        <v>174</v>
      </c>
      <c r="N3" s="113" t="s">
        <v>175</v>
      </c>
      <c r="O3" s="113" t="s">
        <v>176</v>
      </c>
      <c r="P3" s="114">
        <v>45964</v>
      </c>
      <c r="Q3" s="9" t="s">
        <v>177</v>
      </c>
      <c r="R3" s="12" t="s">
        <v>178</v>
      </c>
      <c r="S3" s="18">
        <v>45965</v>
      </c>
      <c r="T3" s="8" t="s">
        <v>179</v>
      </c>
    </row>
    <row r="4" spans="1:20" ht="123.75" customHeight="1" x14ac:dyDescent="0.3">
      <c r="A4" s="112" t="s">
        <v>80</v>
      </c>
      <c r="B4" s="20" t="s">
        <v>167</v>
      </c>
      <c r="C4" s="68" t="s">
        <v>168</v>
      </c>
      <c r="D4" s="113" t="s">
        <v>81</v>
      </c>
      <c r="E4" s="113" t="s">
        <v>180</v>
      </c>
      <c r="F4" s="113" t="s">
        <v>181</v>
      </c>
      <c r="G4" s="113" t="s">
        <v>182</v>
      </c>
      <c r="H4" s="68" t="s">
        <v>183</v>
      </c>
      <c r="I4" s="68" t="s">
        <v>173</v>
      </c>
      <c r="J4" s="122">
        <v>45963</v>
      </c>
      <c r="K4" s="164">
        <v>3</v>
      </c>
      <c r="L4" s="72">
        <v>1</v>
      </c>
      <c r="M4" s="113" t="s">
        <v>184</v>
      </c>
      <c r="N4" s="113" t="s">
        <v>185</v>
      </c>
      <c r="O4" s="113" t="s">
        <v>176</v>
      </c>
      <c r="P4" s="114">
        <v>45964</v>
      </c>
      <c r="Q4" s="9" t="s">
        <v>186</v>
      </c>
      <c r="R4" s="12" t="s">
        <v>187</v>
      </c>
      <c r="S4" s="18">
        <v>45965</v>
      </c>
      <c r="T4" s="8"/>
    </row>
    <row r="5" spans="1:20" ht="92.25" customHeight="1" x14ac:dyDescent="0.3">
      <c r="A5" s="112" t="s">
        <v>188</v>
      </c>
      <c r="B5" s="20" t="s">
        <v>167</v>
      </c>
      <c r="C5" s="68" t="s">
        <v>168</v>
      </c>
      <c r="D5" s="113" t="s">
        <v>189</v>
      </c>
      <c r="E5" s="113" t="s">
        <v>190</v>
      </c>
      <c r="F5" s="113" t="s">
        <v>191</v>
      </c>
      <c r="G5" s="113" t="s">
        <v>192</v>
      </c>
      <c r="H5" s="68" t="s">
        <v>183</v>
      </c>
      <c r="I5" s="68" t="s">
        <v>173</v>
      </c>
      <c r="J5" s="122">
        <v>45963</v>
      </c>
      <c r="K5" s="164">
        <v>3</v>
      </c>
      <c r="L5" s="126">
        <v>1</v>
      </c>
      <c r="M5" s="113" t="s">
        <v>193</v>
      </c>
      <c r="N5" s="113" t="s">
        <v>185</v>
      </c>
      <c r="O5" s="113" t="s">
        <v>176</v>
      </c>
      <c r="P5" s="114">
        <v>45964</v>
      </c>
      <c r="Q5" s="9"/>
      <c r="R5" s="13" t="s">
        <v>194</v>
      </c>
      <c r="S5" s="18">
        <v>45965</v>
      </c>
      <c r="T5" s="8"/>
    </row>
    <row r="6" spans="1:20" ht="128.25" customHeight="1" x14ac:dyDescent="0.3">
      <c r="A6" s="112" t="s">
        <v>66</v>
      </c>
      <c r="B6" s="20" t="s">
        <v>167</v>
      </c>
      <c r="C6" s="68" t="s">
        <v>168</v>
      </c>
      <c r="D6" s="113" t="s">
        <v>67</v>
      </c>
      <c r="E6" s="113" t="s">
        <v>195</v>
      </c>
      <c r="F6" s="113" t="s">
        <v>196</v>
      </c>
      <c r="G6" s="113" t="s">
        <v>197</v>
      </c>
      <c r="H6" s="68" t="s">
        <v>183</v>
      </c>
      <c r="I6" s="68" t="s">
        <v>173</v>
      </c>
      <c r="J6" s="122">
        <v>45963</v>
      </c>
      <c r="K6" s="164">
        <v>3</v>
      </c>
      <c r="L6" s="72">
        <v>1</v>
      </c>
      <c r="M6" s="113" t="s">
        <v>198</v>
      </c>
      <c r="N6" s="113" t="s">
        <v>185</v>
      </c>
      <c r="O6" s="113" t="s">
        <v>199</v>
      </c>
      <c r="P6" s="114">
        <v>45964</v>
      </c>
      <c r="Q6" s="9"/>
      <c r="R6" s="13" t="s">
        <v>200</v>
      </c>
      <c r="S6" s="18">
        <v>45965</v>
      </c>
      <c r="T6" s="8"/>
    </row>
    <row r="7" spans="1:20" ht="109.5" customHeight="1" x14ac:dyDescent="0.3">
      <c r="A7" s="112" t="s">
        <v>68</v>
      </c>
      <c r="B7" s="20" t="s">
        <v>167</v>
      </c>
      <c r="C7" s="68" t="s">
        <v>201</v>
      </c>
      <c r="D7" s="113" t="s">
        <v>69</v>
      </c>
      <c r="E7" s="113" t="s">
        <v>202</v>
      </c>
      <c r="F7" s="113" t="s">
        <v>203</v>
      </c>
      <c r="G7" s="113" t="s">
        <v>204</v>
      </c>
      <c r="H7" s="68" t="s">
        <v>205</v>
      </c>
      <c r="I7" s="68" t="s">
        <v>206</v>
      </c>
      <c r="J7" s="122">
        <v>45963</v>
      </c>
      <c r="K7" s="164">
        <v>3</v>
      </c>
      <c r="L7" s="126">
        <v>1</v>
      </c>
      <c r="M7" s="113" t="s">
        <v>207</v>
      </c>
      <c r="N7" s="113" t="s">
        <v>185</v>
      </c>
      <c r="O7" s="113" t="s">
        <v>176</v>
      </c>
      <c r="P7" s="114">
        <v>45964</v>
      </c>
      <c r="Q7" s="9"/>
      <c r="R7" s="14" t="s">
        <v>208</v>
      </c>
      <c r="S7" s="18">
        <v>45965</v>
      </c>
      <c r="T7" s="8"/>
    </row>
    <row r="8" spans="1:20" ht="115.5" customHeight="1" x14ac:dyDescent="0.3">
      <c r="A8" s="112" t="s">
        <v>108</v>
      </c>
      <c r="B8" s="20" t="s">
        <v>167</v>
      </c>
      <c r="C8" s="68" t="s">
        <v>209</v>
      </c>
      <c r="D8" s="113" t="s">
        <v>109</v>
      </c>
      <c r="E8" s="113" t="s">
        <v>202</v>
      </c>
      <c r="F8" s="113" t="s">
        <v>210</v>
      </c>
      <c r="G8" s="113" t="s">
        <v>211</v>
      </c>
      <c r="H8" s="68" t="s">
        <v>212</v>
      </c>
      <c r="I8" s="68" t="s">
        <v>213</v>
      </c>
      <c r="J8" s="122">
        <v>45963</v>
      </c>
      <c r="K8" s="164">
        <v>3</v>
      </c>
      <c r="L8" s="72">
        <v>1</v>
      </c>
      <c r="M8" s="113" t="s">
        <v>214</v>
      </c>
      <c r="N8" s="113" t="s">
        <v>215</v>
      </c>
      <c r="O8" s="113" t="s">
        <v>176</v>
      </c>
      <c r="P8" s="114">
        <v>45964</v>
      </c>
      <c r="Q8" s="9" t="s">
        <v>216</v>
      </c>
      <c r="R8" s="12" t="s">
        <v>217</v>
      </c>
      <c r="S8" s="18">
        <v>45965</v>
      </c>
      <c r="T8" s="8"/>
    </row>
    <row r="9" spans="1:20" ht="138.75" customHeight="1" x14ac:dyDescent="0.3">
      <c r="A9" s="112" t="s">
        <v>218</v>
      </c>
      <c r="B9" s="21" t="s">
        <v>219</v>
      </c>
      <c r="C9" s="68" t="s">
        <v>220</v>
      </c>
      <c r="D9" s="113" t="s">
        <v>221</v>
      </c>
      <c r="E9" s="113" t="s">
        <v>202</v>
      </c>
      <c r="F9" s="113" t="s">
        <v>222</v>
      </c>
      <c r="G9" s="113" t="s">
        <v>223</v>
      </c>
      <c r="H9" s="68" t="s">
        <v>172</v>
      </c>
      <c r="I9" s="68" t="s">
        <v>224</v>
      </c>
      <c r="J9" s="122">
        <v>45963</v>
      </c>
      <c r="K9" s="164">
        <v>2</v>
      </c>
      <c r="L9" s="126">
        <v>1</v>
      </c>
      <c r="M9" s="113"/>
      <c r="N9" s="113" t="s">
        <v>185</v>
      </c>
      <c r="O9" s="113" t="s">
        <v>176</v>
      </c>
      <c r="P9" s="114">
        <v>45964</v>
      </c>
      <c r="Q9" s="9"/>
      <c r="R9" s="15" t="s">
        <v>225</v>
      </c>
      <c r="S9" s="18">
        <v>45965</v>
      </c>
      <c r="T9" s="8"/>
    </row>
    <row r="10" spans="1:20" ht="130.5" customHeight="1" x14ac:dyDescent="0.3">
      <c r="A10" s="112" t="s">
        <v>226</v>
      </c>
      <c r="B10" s="21" t="s">
        <v>219</v>
      </c>
      <c r="C10" s="68" t="s">
        <v>227</v>
      </c>
      <c r="D10" s="113" t="s">
        <v>228</v>
      </c>
      <c r="E10" s="113" t="s">
        <v>229</v>
      </c>
      <c r="F10" s="113" t="s">
        <v>230</v>
      </c>
      <c r="G10" s="113" t="s">
        <v>231</v>
      </c>
      <c r="H10" s="68" t="s">
        <v>232</v>
      </c>
      <c r="I10" s="68" t="s">
        <v>233</v>
      </c>
      <c r="J10" s="122">
        <v>45963</v>
      </c>
      <c r="K10" s="164">
        <v>2</v>
      </c>
      <c r="L10" s="72">
        <v>1</v>
      </c>
      <c r="M10" s="113" t="s">
        <v>234</v>
      </c>
      <c r="N10" s="113" t="s">
        <v>185</v>
      </c>
      <c r="O10" s="113" t="s">
        <v>235</v>
      </c>
      <c r="P10" s="114">
        <v>45964</v>
      </c>
      <c r="Q10" s="9"/>
      <c r="R10" s="12" t="s">
        <v>236</v>
      </c>
      <c r="S10" s="18">
        <v>45965</v>
      </c>
      <c r="T10" s="8"/>
    </row>
    <row r="11" spans="1:20" ht="134.25" customHeight="1" x14ac:dyDescent="0.3">
      <c r="A11" s="112" t="s">
        <v>237</v>
      </c>
      <c r="B11" s="21" t="s">
        <v>219</v>
      </c>
      <c r="C11" s="68" t="s">
        <v>220</v>
      </c>
      <c r="D11" s="113" t="s">
        <v>238</v>
      </c>
      <c r="E11" s="113" t="s">
        <v>239</v>
      </c>
      <c r="F11" s="113" t="s">
        <v>240</v>
      </c>
      <c r="G11" s="113" t="s">
        <v>241</v>
      </c>
      <c r="H11" s="68" t="s">
        <v>172</v>
      </c>
      <c r="I11" s="68" t="s">
        <v>242</v>
      </c>
      <c r="J11" s="122">
        <v>45963</v>
      </c>
      <c r="K11" s="164">
        <v>3</v>
      </c>
      <c r="L11" s="126">
        <v>1</v>
      </c>
      <c r="M11" s="113" t="s">
        <v>243</v>
      </c>
      <c r="N11" s="113" t="s">
        <v>185</v>
      </c>
      <c r="O11" s="113" t="s">
        <v>244</v>
      </c>
      <c r="P11" s="114">
        <v>45964</v>
      </c>
      <c r="Q11" s="9"/>
      <c r="R11" s="12" t="s">
        <v>245</v>
      </c>
      <c r="S11" s="18">
        <v>45965</v>
      </c>
      <c r="T11" s="8"/>
    </row>
    <row r="12" spans="1:20" ht="99" customHeight="1" x14ac:dyDescent="0.3">
      <c r="A12" s="112" t="s">
        <v>117</v>
      </c>
      <c r="B12" s="21" t="s">
        <v>219</v>
      </c>
      <c r="C12" s="68" t="s">
        <v>246</v>
      </c>
      <c r="D12" s="113" t="s">
        <v>118</v>
      </c>
      <c r="E12" s="113" t="s">
        <v>247</v>
      </c>
      <c r="F12" s="113" t="s">
        <v>248</v>
      </c>
      <c r="G12" s="113" t="s">
        <v>249</v>
      </c>
      <c r="H12" s="68" t="s">
        <v>250</v>
      </c>
      <c r="I12" s="68" t="s">
        <v>251</v>
      </c>
      <c r="J12" s="122">
        <v>45963</v>
      </c>
      <c r="K12" s="164"/>
      <c r="L12" s="72">
        <v>1</v>
      </c>
      <c r="M12" s="113" t="s">
        <v>252</v>
      </c>
      <c r="N12" s="113" t="s">
        <v>215</v>
      </c>
      <c r="O12" s="113" t="s">
        <v>176</v>
      </c>
      <c r="P12" s="114">
        <v>45964</v>
      </c>
      <c r="Q12" s="9" t="s">
        <v>253</v>
      </c>
      <c r="R12" s="13" t="s">
        <v>254</v>
      </c>
      <c r="S12" s="18">
        <v>45965</v>
      </c>
      <c r="T12" s="8" t="s">
        <v>255</v>
      </c>
    </row>
    <row r="13" spans="1:20" ht="126.75" customHeight="1" x14ac:dyDescent="0.3">
      <c r="A13" s="112" t="s">
        <v>82</v>
      </c>
      <c r="B13" s="21" t="s">
        <v>219</v>
      </c>
      <c r="C13" s="68" t="s">
        <v>256</v>
      </c>
      <c r="D13" s="113" t="s">
        <v>83</v>
      </c>
      <c r="E13" s="113" t="s">
        <v>202</v>
      </c>
      <c r="F13" s="113" t="s">
        <v>257</v>
      </c>
      <c r="G13" s="113" t="s">
        <v>258</v>
      </c>
      <c r="H13" s="68" t="s">
        <v>183</v>
      </c>
      <c r="I13" s="68" t="s">
        <v>259</v>
      </c>
      <c r="J13" s="122">
        <v>45963</v>
      </c>
      <c r="K13" s="164">
        <v>3</v>
      </c>
      <c r="L13" s="126">
        <v>1</v>
      </c>
      <c r="M13" s="113" t="s">
        <v>260</v>
      </c>
      <c r="N13" s="113" t="s">
        <v>185</v>
      </c>
      <c r="O13" s="113" t="s">
        <v>176</v>
      </c>
      <c r="P13" s="114">
        <v>45964</v>
      </c>
      <c r="Q13" s="9" t="s">
        <v>186</v>
      </c>
      <c r="R13" s="12" t="s">
        <v>261</v>
      </c>
      <c r="S13" s="18">
        <v>45965</v>
      </c>
      <c r="T13" s="8"/>
    </row>
    <row r="14" spans="1:20" ht="145.5" customHeight="1" x14ac:dyDescent="0.3">
      <c r="A14" s="112" t="s">
        <v>84</v>
      </c>
      <c r="B14" s="21" t="s">
        <v>219</v>
      </c>
      <c r="C14" s="68" t="s">
        <v>262</v>
      </c>
      <c r="D14" s="113" t="s">
        <v>85</v>
      </c>
      <c r="E14" s="113" t="s">
        <v>263</v>
      </c>
      <c r="F14" s="113" t="s">
        <v>264</v>
      </c>
      <c r="G14" s="113" t="s">
        <v>265</v>
      </c>
      <c r="H14" s="68" t="s">
        <v>232</v>
      </c>
      <c r="I14" s="68" t="s">
        <v>266</v>
      </c>
      <c r="J14" s="122">
        <v>45963</v>
      </c>
      <c r="K14" s="164">
        <v>3</v>
      </c>
      <c r="L14" s="72">
        <v>1</v>
      </c>
      <c r="M14" s="113"/>
      <c r="N14" s="113" t="s">
        <v>215</v>
      </c>
      <c r="O14" s="113" t="s">
        <v>267</v>
      </c>
      <c r="P14" s="114">
        <v>45964</v>
      </c>
      <c r="Q14" s="9" t="s">
        <v>268</v>
      </c>
      <c r="R14" s="12" t="s">
        <v>269</v>
      </c>
      <c r="S14" s="18">
        <v>45965</v>
      </c>
      <c r="T14" s="8"/>
    </row>
    <row r="15" spans="1:20" ht="146.25" customHeight="1" x14ac:dyDescent="0.3">
      <c r="A15" s="112" t="s">
        <v>270</v>
      </c>
      <c r="B15" s="21" t="s">
        <v>219</v>
      </c>
      <c r="C15" s="68" t="s">
        <v>220</v>
      </c>
      <c r="D15" s="113" t="s">
        <v>271</v>
      </c>
      <c r="E15" s="113" t="s">
        <v>272</v>
      </c>
      <c r="F15" s="113" t="s">
        <v>273</v>
      </c>
      <c r="G15" s="113" t="s">
        <v>274</v>
      </c>
      <c r="H15" s="68" t="s">
        <v>172</v>
      </c>
      <c r="I15" s="68" t="s">
        <v>275</v>
      </c>
      <c r="J15" s="122">
        <v>45963</v>
      </c>
      <c r="K15" s="164">
        <v>2</v>
      </c>
      <c r="L15" s="126">
        <v>1</v>
      </c>
      <c r="M15" s="113"/>
      <c r="N15" s="113" t="s">
        <v>215</v>
      </c>
      <c r="O15" s="113" t="s">
        <v>267</v>
      </c>
      <c r="P15" s="114">
        <v>45964</v>
      </c>
      <c r="Q15" s="9" t="s">
        <v>276</v>
      </c>
      <c r="R15" s="12" t="s">
        <v>277</v>
      </c>
      <c r="S15" s="18">
        <v>45965</v>
      </c>
      <c r="T15" s="8"/>
    </row>
    <row r="16" spans="1:20" ht="75" customHeight="1" x14ac:dyDescent="0.3">
      <c r="A16" s="112" t="s">
        <v>86</v>
      </c>
      <c r="B16" s="21" t="s">
        <v>219</v>
      </c>
      <c r="C16" s="68" t="s">
        <v>201</v>
      </c>
      <c r="D16" s="113" t="s">
        <v>87</v>
      </c>
      <c r="E16" s="113" t="s">
        <v>278</v>
      </c>
      <c r="F16" s="113" t="s">
        <v>279</v>
      </c>
      <c r="G16" s="113" t="s">
        <v>280</v>
      </c>
      <c r="H16" s="68" t="s">
        <v>183</v>
      </c>
      <c r="I16" s="68" t="s">
        <v>281</v>
      </c>
      <c r="J16" s="122">
        <v>45963</v>
      </c>
      <c r="K16" s="164">
        <v>1</v>
      </c>
      <c r="L16" s="72">
        <v>1</v>
      </c>
      <c r="M16" s="113" t="s">
        <v>282</v>
      </c>
      <c r="N16" s="113" t="s">
        <v>175</v>
      </c>
      <c r="O16" s="113" t="s">
        <v>176</v>
      </c>
      <c r="P16" s="114">
        <v>45964</v>
      </c>
      <c r="Q16" s="9" t="s">
        <v>283</v>
      </c>
      <c r="R16" s="12"/>
      <c r="S16" s="18">
        <v>45965</v>
      </c>
      <c r="T16" s="8"/>
    </row>
    <row r="17" spans="1:20" ht="163.5" customHeight="1" x14ac:dyDescent="0.3">
      <c r="A17" s="112" t="s">
        <v>88</v>
      </c>
      <c r="B17" s="21" t="s">
        <v>219</v>
      </c>
      <c r="C17" s="68" t="s">
        <v>284</v>
      </c>
      <c r="D17" s="113" t="s">
        <v>89</v>
      </c>
      <c r="E17" s="113" t="s">
        <v>285</v>
      </c>
      <c r="F17" s="113" t="s">
        <v>286</v>
      </c>
      <c r="G17" s="113" t="s">
        <v>287</v>
      </c>
      <c r="H17" s="68" t="s">
        <v>288</v>
      </c>
      <c r="I17" s="68" t="s">
        <v>289</v>
      </c>
      <c r="J17" s="122">
        <v>45963</v>
      </c>
      <c r="K17" s="164">
        <v>3</v>
      </c>
      <c r="L17" s="126">
        <v>1</v>
      </c>
      <c r="M17" s="113" t="s">
        <v>290</v>
      </c>
      <c r="N17" s="113" t="s">
        <v>215</v>
      </c>
      <c r="O17" s="113" t="s">
        <v>176</v>
      </c>
      <c r="P17" s="114">
        <v>45964</v>
      </c>
      <c r="Q17" s="9" t="s">
        <v>291</v>
      </c>
      <c r="R17" s="12" t="s">
        <v>292</v>
      </c>
      <c r="S17" s="18">
        <v>45965</v>
      </c>
      <c r="T17" s="8"/>
    </row>
    <row r="18" spans="1:20" ht="127.5" customHeight="1" x14ac:dyDescent="0.3">
      <c r="A18" s="112" t="s">
        <v>90</v>
      </c>
      <c r="B18" s="21" t="s">
        <v>219</v>
      </c>
      <c r="C18" s="68" t="s">
        <v>293</v>
      </c>
      <c r="D18" s="113" t="s">
        <v>91</v>
      </c>
      <c r="E18" s="113" t="s">
        <v>294</v>
      </c>
      <c r="F18" s="113" t="s">
        <v>295</v>
      </c>
      <c r="G18" s="113" t="s">
        <v>296</v>
      </c>
      <c r="H18" s="68" t="s">
        <v>183</v>
      </c>
      <c r="I18" s="68" t="s">
        <v>259</v>
      </c>
      <c r="J18" s="122">
        <v>45963</v>
      </c>
      <c r="K18" s="164">
        <v>3</v>
      </c>
      <c r="L18" s="72">
        <v>1</v>
      </c>
      <c r="M18" s="113"/>
      <c r="N18" s="113" t="s">
        <v>185</v>
      </c>
      <c r="O18" s="113" t="s">
        <v>297</v>
      </c>
      <c r="P18" s="114">
        <v>45964</v>
      </c>
      <c r="Q18" s="9"/>
      <c r="R18" s="12" t="s">
        <v>298</v>
      </c>
      <c r="S18" s="18">
        <v>45965</v>
      </c>
      <c r="T18" s="8"/>
    </row>
    <row r="19" spans="1:20" ht="148.5" customHeight="1" x14ac:dyDescent="0.3">
      <c r="A19" s="112" t="s">
        <v>70</v>
      </c>
      <c r="B19" s="21" t="s">
        <v>219</v>
      </c>
      <c r="C19" s="68" t="s">
        <v>299</v>
      </c>
      <c r="D19" s="113" t="s">
        <v>71</v>
      </c>
      <c r="E19" s="113" t="s">
        <v>300</v>
      </c>
      <c r="F19" s="113" t="s">
        <v>301</v>
      </c>
      <c r="G19" s="113" t="s">
        <v>302</v>
      </c>
      <c r="H19" s="68" t="s">
        <v>183</v>
      </c>
      <c r="I19" s="68" t="s">
        <v>173</v>
      </c>
      <c r="J19" s="122">
        <v>45963</v>
      </c>
      <c r="K19" s="164">
        <v>2</v>
      </c>
      <c r="L19" s="126">
        <v>1</v>
      </c>
      <c r="M19" s="113"/>
      <c r="N19" s="113"/>
      <c r="O19" s="113" t="s">
        <v>267</v>
      </c>
      <c r="P19" s="114">
        <v>45964</v>
      </c>
      <c r="Q19" s="9" t="s">
        <v>303</v>
      </c>
      <c r="R19" s="12" t="s">
        <v>304</v>
      </c>
      <c r="S19" s="18">
        <v>45965</v>
      </c>
      <c r="T19" s="8"/>
    </row>
    <row r="20" spans="1:20" ht="65.25" customHeight="1" x14ac:dyDescent="0.3">
      <c r="A20" s="112" t="s">
        <v>94</v>
      </c>
      <c r="B20" s="22" t="s">
        <v>305</v>
      </c>
      <c r="C20" s="68" t="s">
        <v>306</v>
      </c>
      <c r="D20" s="113" t="s">
        <v>95</v>
      </c>
      <c r="E20" s="113" t="s">
        <v>307</v>
      </c>
      <c r="F20" s="113" t="s">
        <v>308</v>
      </c>
      <c r="G20" s="113" t="s">
        <v>309</v>
      </c>
      <c r="H20" s="68" t="s">
        <v>212</v>
      </c>
      <c r="I20" s="68" t="s">
        <v>310</v>
      </c>
      <c r="J20" s="122">
        <v>45963</v>
      </c>
      <c r="K20" s="164">
        <v>1</v>
      </c>
      <c r="L20" s="72">
        <v>1</v>
      </c>
      <c r="M20" s="113"/>
      <c r="N20" s="113" t="s">
        <v>311</v>
      </c>
      <c r="O20" s="113" t="s">
        <v>176</v>
      </c>
      <c r="P20" s="114">
        <v>45964</v>
      </c>
      <c r="Q20" s="9" t="s">
        <v>312</v>
      </c>
      <c r="R20" s="12" t="s">
        <v>313</v>
      </c>
      <c r="S20" s="18">
        <v>45965</v>
      </c>
      <c r="T20" s="8"/>
    </row>
    <row r="21" spans="1:20" ht="171" customHeight="1" x14ac:dyDescent="0.3">
      <c r="A21" s="112" t="s">
        <v>96</v>
      </c>
      <c r="B21" s="22" t="s">
        <v>305</v>
      </c>
      <c r="C21" s="68" t="s">
        <v>314</v>
      </c>
      <c r="D21" s="113" t="s">
        <v>97</v>
      </c>
      <c r="E21" s="113" t="s">
        <v>315</v>
      </c>
      <c r="F21" s="113" t="s">
        <v>316</v>
      </c>
      <c r="G21" s="113" t="s">
        <v>317</v>
      </c>
      <c r="H21" s="68" t="s">
        <v>318</v>
      </c>
      <c r="I21" s="68" t="s">
        <v>319</v>
      </c>
      <c r="J21" s="122">
        <v>45963</v>
      </c>
      <c r="K21" s="164">
        <v>2</v>
      </c>
      <c r="L21" s="126">
        <v>1</v>
      </c>
      <c r="M21" s="113" t="s">
        <v>320</v>
      </c>
      <c r="N21" s="113" t="s">
        <v>185</v>
      </c>
      <c r="O21" s="113" t="s">
        <v>321</v>
      </c>
      <c r="P21" s="114">
        <v>45964</v>
      </c>
      <c r="Q21" s="9"/>
      <c r="R21" s="12" t="s">
        <v>322</v>
      </c>
      <c r="S21" s="18">
        <v>45965</v>
      </c>
      <c r="T21" s="8"/>
    </row>
    <row r="22" spans="1:20" ht="153.75" customHeight="1" x14ac:dyDescent="0.3">
      <c r="A22" s="112" t="s">
        <v>98</v>
      </c>
      <c r="B22" s="22" t="s">
        <v>305</v>
      </c>
      <c r="C22" s="68" t="s">
        <v>314</v>
      </c>
      <c r="D22" s="113" t="s">
        <v>99</v>
      </c>
      <c r="E22" s="113" t="s">
        <v>323</v>
      </c>
      <c r="F22" s="113" t="s">
        <v>324</v>
      </c>
      <c r="G22" s="113" t="s">
        <v>325</v>
      </c>
      <c r="H22" s="68" t="s">
        <v>326</v>
      </c>
      <c r="I22" s="68" t="s">
        <v>327</v>
      </c>
      <c r="J22" s="122">
        <v>45963</v>
      </c>
      <c r="K22" s="164">
        <v>3</v>
      </c>
      <c r="L22" s="72">
        <v>1</v>
      </c>
      <c r="M22" s="7" t="s">
        <v>328</v>
      </c>
      <c r="N22" s="113" t="s">
        <v>185</v>
      </c>
      <c r="O22" s="113" t="s">
        <v>321</v>
      </c>
      <c r="P22" s="114">
        <v>45964</v>
      </c>
      <c r="Q22" s="9"/>
      <c r="R22" s="12" t="s">
        <v>329</v>
      </c>
      <c r="S22" s="18">
        <v>45965</v>
      </c>
      <c r="T22" s="8"/>
    </row>
    <row r="23" spans="1:20" ht="205.5" customHeight="1" x14ac:dyDescent="0.3">
      <c r="A23" s="112" t="s">
        <v>100</v>
      </c>
      <c r="B23" s="22" t="s">
        <v>305</v>
      </c>
      <c r="C23" s="68" t="s">
        <v>330</v>
      </c>
      <c r="D23" s="113" t="s">
        <v>101</v>
      </c>
      <c r="E23" s="113" t="s">
        <v>331</v>
      </c>
      <c r="F23" s="113" t="s">
        <v>332</v>
      </c>
      <c r="G23" s="113" t="s">
        <v>333</v>
      </c>
      <c r="H23" s="68" t="s">
        <v>232</v>
      </c>
      <c r="I23" s="68" t="s">
        <v>334</v>
      </c>
      <c r="J23" s="122">
        <v>45963</v>
      </c>
      <c r="K23" s="164">
        <v>2</v>
      </c>
      <c r="L23" s="126">
        <v>1</v>
      </c>
      <c r="M23" s="113" t="s">
        <v>335</v>
      </c>
      <c r="N23" s="113" t="s">
        <v>185</v>
      </c>
      <c r="O23" s="113" t="s">
        <v>336</v>
      </c>
      <c r="P23" s="114">
        <v>45964</v>
      </c>
      <c r="Q23" s="9"/>
      <c r="R23" s="12" t="s">
        <v>337</v>
      </c>
      <c r="S23" s="18">
        <v>45965</v>
      </c>
      <c r="T23" s="8"/>
    </row>
    <row r="24" spans="1:20" ht="184.5" customHeight="1" x14ac:dyDescent="0.3">
      <c r="A24" s="112" t="s">
        <v>338</v>
      </c>
      <c r="B24" s="22" t="s">
        <v>305</v>
      </c>
      <c r="C24" s="68" t="s">
        <v>339</v>
      </c>
      <c r="D24" s="113" t="s">
        <v>340</v>
      </c>
      <c r="E24" s="113" t="s">
        <v>202</v>
      </c>
      <c r="F24" s="113" t="s">
        <v>341</v>
      </c>
      <c r="G24" s="113" t="s">
        <v>342</v>
      </c>
      <c r="H24" s="68" t="s">
        <v>172</v>
      </c>
      <c r="I24" s="68" t="s">
        <v>343</v>
      </c>
      <c r="J24" s="122">
        <v>45963</v>
      </c>
      <c r="K24" s="164">
        <v>2</v>
      </c>
      <c r="L24" s="72">
        <v>1</v>
      </c>
      <c r="M24" s="113" t="s">
        <v>344</v>
      </c>
      <c r="N24" s="113" t="s">
        <v>185</v>
      </c>
      <c r="O24" s="113" t="s">
        <v>176</v>
      </c>
      <c r="P24" s="114">
        <v>45964</v>
      </c>
      <c r="Q24" s="9"/>
      <c r="R24" s="12" t="s">
        <v>345</v>
      </c>
      <c r="S24" s="18">
        <v>45965</v>
      </c>
      <c r="T24" s="8"/>
    </row>
    <row r="25" spans="1:20" ht="132.75" customHeight="1" x14ac:dyDescent="0.3">
      <c r="A25" s="112" t="s">
        <v>72</v>
      </c>
      <c r="B25" s="22" t="s">
        <v>305</v>
      </c>
      <c r="C25" s="68" t="s">
        <v>346</v>
      </c>
      <c r="D25" s="113" t="s">
        <v>73</v>
      </c>
      <c r="E25" s="113" t="s">
        <v>347</v>
      </c>
      <c r="F25" s="113" t="s">
        <v>348</v>
      </c>
      <c r="G25" s="113" t="s">
        <v>349</v>
      </c>
      <c r="H25" s="68" t="s">
        <v>172</v>
      </c>
      <c r="I25" s="68" t="s">
        <v>350</v>
      </c>
      <c r="J25" s="122">
        <v>45963</v>
      </c>
      <c r="K25" s="164">
        <v>1</v>
      </c>
      <c r="L25" s="126">
        <v>1</v>
      </c>
      <c r="M25" s="113" t="s">
        <v>351</v>
      </c>
      <c r="N25" s="113" t="s">
        <v>185</v>
      </c>
      <c r="O25" s="113" t="s">
        <v>244</v>
      </c>
      <c r="P25" s="114">
        <v>45964</v>
      </c>
      <c r="Q25" s="9"/>
      <c r="R25" s="12" t="s">
        <v>352</v>
      </c>
      <c r="S25" s="18">
        <v>45965</v>
      </c>
      <c r="T25" s="8"/>
    </row>
    <row r="26" spans="1:20" ht="171.75" customHeight="1" x14ac:dyDescent="0.3">
      <c r="A26" s="112" t="s">
        <v>110</v>
      </c>
      <c r="B26" s="22" t="s">
        <v>305</v>
      </c>
      <c r="C26" s="68" t="s">
        <v>353</v>
      </c>
      <c r="D26" s="113" t="s">
        <v>111</v>
      </c>
      <c r="E26" s="113" t="s">
        <v>354</v>
      </c>
      <c r="F26" s="113" t="s">
        <v>355</v>
      </c>
      <c r="G26" s="113" t="s">
        <v>356</v>
      </c>
      <c r="H26" s="68" t="s">
        <v>212</v>
      </c>
      <c r="I26" s="68" t="s">
        <v>357</v>
      </c>
      <c r="J26" s="122">
        <v>45963</v>
      </c>
      <c r="K26" s="164">
        <v>2</v>
      </c>
      <c r="L26" s="72">
        <v>1</v>
      </c>
      <c r="M26" s="113" t="s">
        <v>358</v>
      </c>
      <c r="N26" s="113" t="s">
        <v>185</v>
      </c>
      <c r="O26" s="113" t="s">
        <v>176</v>
      </c>
      <c r="P26" s="114">
        <v>45964</v>
      </c>
      <c r="Q26" s="9"/>
      <c r="R26" s="12" t="s">
        <v>359</v>
      </c>
      <c r="S26" s="18">
        <v>45965</v>
      </c>
      <c r="T26" s="8"/>
    </row>
    <row r="27" spans="1:20" ht="28.8" x14ac:dyDescent="0.3">
      <c r="A27" s="112" t="s">
        <v>102</v>
      </c>
      <c r="B27" s="22" t="s">
        <v>305</v>
      </c>
      <c r="C27" s="68" t="s">
        <v>5</v>
      </c>
      <c r="D27" s="113" t="s">
        <v>103</v>
      </c>
      <c r="E27" s="113" t="s">
        <v>360</v>
      </c>
      <c r="F27" s="113" t="s">
        <v>361</v>
      </c>
      <c r="G27" s="113" t="s">
        <v>362</v>
      </c>
      <c r="H27" s="68" t="s">
        <v>212</v>
      </c>
      <c r="I27" s="68" t="s">
        <v>357</v>
      </c>
      <c r="J27" s="122">
        <v>45963</v>
      </c>
      <c r="K27" s="164">
        <v>2</v>
      </c>
      <c r="L27" s="126">
        <v>1</v>
      </c>
      <c r="M27" s="113" t="s">
        <v>363</v>
      </c>
      <c r="N27" s="113" t="s">
        <v>215</v>
      </c>
      <c r="O27" s="113" t="s">
        <v>176</v>
      </c>
      <c r="P27" s="114">
        <v>45964</v>
      </c>
      <c r="Q27" s="9" t="s">
        <v>364</v>
      </c>
      <c r="R27" s="12"/>
      <c r="S27" s="18">
        <v>45965</v>
      </c>
      <c r="T27" s="8"/>
    </row>
    <row r="28" spans="1:20" ht="164.25" customHeight="1" x14ac:dyDescent="0.3">
      <c r="A28" s="112" t="s">
        <v>104</v>
      </c>
      <c r="B28" s="22" t="s">
        <v>305</v>
      </c>
      <c r="C28" s="68" t="s">
        <v>365</v>
      </c>
      <c r="D28" s="113" t="s">
        <v>105</v>
      </c>
      <c r="E28" s="113" t="s">
        <v>366</v>
      </c>
      <c r="F28" s="113" t="s">
        <v>367</v>
      </c>
      <c r="G28" s="113" t="s">
        <v>368</v>
      </c>
      <c r="H28" s="68" t="s">
        <v>205</v>
      </c>
      <c r="I28" s="68" t="s">
        <v>369</v>
      </c>
      <c r="J28" s="122">
        <v>45963</v>
      </c>
      <c r="K28" s="164">
        <v>2</v>
      </c>
      <c r="L28" s="72">
        <v>1</v>
      </c>
      <c r="M28" s="113" t="s">
        <v>370</v>
      </c>
      <c r="N28" s="113" t="s">
        <v>215</v>
      </c>
      <c r="O28" s="113" t="s">
        <v>176</v>
      </c>
      <c r="P28" s="114">
        <v>45964</v>
      </c>
      <c r="Q28" s="9" t="s">
        <v>371</v>
      </c>
      <c r="R28" s="12" t="s">
        <v>372</v>
      </c>
      <c r="S28" s="18">
        <v>45965</v>
      </c>
      <c r="T28" s="8"/>
    </row>
  </sheetData>
  <autoFilter ref="A2:T2" xr:uid="{00000000-0001-0000-0000-000000000000}"/>
  <mergeCells count="3">
    <mergeCell ref="M1:P1"/>
    <mergeCell ref="A1:L1"/>
    <mergeCell ref="Q1:S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B6FA-BFCF-40CF-AF5C-437E9518E998}">
  <dimension ref="A1:K22"/>
  <sheetViews>
    <sheetView workbookViewId="0">
      <selection activeCell="I6" sqref="I6"/>
    </sheetView>
  </sheetViews>
  <sheetFormatPr defaultRowHeight="14.4" x14ac:dyDescent="0.3"/>
  <cols>
    <col min="1" max="1" width="14.6640625" customWidth="1"/>
    <col min="2" max="2" width="11.44140625" customWidth="1"/>
    <col min="3" max="3" width="11" customWidth="1"/>
    <col min="4" max="4" width="11.109375" customWidth="1"/>
    <col min="5" max="5" width="9.109375" customWidth="1"/>
    <col min="6" max="6" width="13.5546875" customWidth="1"/>
    <col min="7" max="7" width="1.6640625" style="273" customWidth="1"/>
    <col min="8" max="8" width="27.5546875" customWidth="1"/>
    <col min="9" max="9" width="44.33203125" customWidth="1"/>
    <col min="10" max="10" width="26.109375" customWidth="1"/>
    <col min="11" max="11" width="30.44140625" style="61" customWidth="1"/>
  </cols>
  <sheetData>
    <row r="1" spans="1:10" ht="21" x14ac:dyDescent="0.4">
      <c r="A1" s="267" t="s">
        <v>145</v>
      </c>
      <c r="B1" s="268"/>
      <c r="C1" s="268"/>
      <c r="D1" s="268"/>
      <c r="E1" s="268"/>
      <c r="F1" s="269"/>
      <c r="H1" s="270" t="s">
        <v>373</v>
      </c>
      <c r="I1" s="271"/>
      <c r="J1" s="272"/>
    </row>
    <row r="2" spans="1:10" ht="15.6" x14ac:dyDescent="0.3">
      <c r="A2" s="49" t="s">
        <v>146</v>
      </c>
      <c r="B2" s="49" t="s">
        <v>140</v>
      </c>
      <c r="C2" s="49" t="s">
        <v>141</v>
      </c>
      <c r="D2" s="49" t="s">
        <v>142</v>
      </c>
      <c r="E2" s="49" t="s">
        <v>143</v>
      </c>
      <c r="F2" s="49" t="s">
        <v>144</v>
      </c>
      <c r="H2" s="62" t="s">
        <v>374</v>
      </c>
      <c r="I2" s="62" t="s">
        <v>375</v>
      </c>
      <c r="J2" s="62" t="s">
        <v>376</v>
      </c>
    </row>
    <row r="3" spans="1:10" ht="15.6" x14ac:dyDescent="0.3">
      <c r="A3" s="64" t="s">
        <v>6</v>
      </c>
      <c r="B3" s="28">
        <f>COUNTIFS(Performance_Analysis!A:A,"*PERF-DB*",Performance_Analysis!B:B,"CRITICAL")</f>
        <v>6</v>
      </c>
      <c r="C3" s="29">
        <f>COUNTIFS(Performance_Analysis!A:A,"*PERF-DB*",Performance_Analysis!B:B,"HIGH")</f>
        <v>9</v>
      </c>
      <c r="D3" s="30">
        <f>COUNTIFS(Performance_Analysis!A:A,"*PERF-DB*",Performance_Analysis!B:B,"MEDIUM")</f>
        <v>12</v>
      </c>
      <c r="E3" s="31">
        <f>COUNTIFS(Performance_Analysis!A:A,"*PERF-DB*",Performance_Analysis!B:B,"LOW")</f>
        <v>4</v>
      </c>
      <c r="F3" s="32">
        <f>SUM(B3:E3)</f>
        <v>31</v>
      </c>
      <c r="H3" s="63" t="s">
        <v>377</v>
      </c>
      <c r="I3" s="112" t="s">
        <v>378</v>
      </c>
      <c r="J3" s="112" t="s">
        <v>379</v>
      </c>
    </row>
    <row r="4" spans="1:10" ht="15.75" customHeight="1" x14ac:dyDescent="0.3">
      <c r="A4" s="64" t="s">
        <v>8</v>
      </c>
      <c r="B4" s="28">
        <f>COUNTIFS(Performance_Analysis!A:A,"*PERF-MB*",Performance_Analysis!B:B,"CRITICAL")</f>
        <v>2</v>
      </c>
      <c r="C4" s="29">
        <f>COUNTIFS(Performance_Analysis!A:A,"*PERF-MB*",Performance_Analysis!B:B,"HIGH")</f>
        <v>7</v>
      </c>
      <c r="D4" s="30">
        <f>COUNTIFS(Performance_Analysis!A:A,"*PERF-MB*",Performance_Analysis!B:B,"MEDIUM")</f>
        <v>6</v>
      </c>
      <c r="E4" s="33">
        <f>COUNTIFS(Performance_Analysis!A:A,"*PERF-MB*",Performance_Analysis!B:B,"LOW")</f>
        <v>0</v>
      </c>
      <c r="F4" s="32">
        <f t="shared" ref="F4:F11" si="0">SUM(B4:E4)</f>
        <v>15</v>
      </c>
      <c r="H4" s="63" t="s">
        <v>380</v>
      </c>
      <c r="I4" s="112" t="s">
        <v>381</v>
      </c>
      <c r="J4" s="112" t="s">
        <v>382</v>
      </c>
    </row>
    <row r="5" spans="1:10" ht="15.6" x14ac:dyDescent="0.3">
      <c r="A5" s="64" t="s">
        <v>10</v>
      </c>
      <c r="B5" s="28">
        <f>COUNTIFS(Performance_Analysis!A:A,"*PERF-DF*",Performance_Analysis!B:B,"CRITICAL")</f>
        <v>2</v>
      </c>
      <c r="C5" s="29">
        <f>COUNTIFS(Performance_Analysis!A:A,"*PERF-DF*",Performance_Analysis!B:B,"HIGH")</f>
        <v>8</v>
      </c>
      <c r="D5" s="30">
        <f>COUNTIFS(Performance_Analysis!A:A,"*PERF-DF*",Performance_Analysis!B:B,"MEDIUM")</f>
        <v>4</v>
      </c>
      <c r="E5" s="33">
        <f>COUNTIFS(Performance_Analysis!A:A,"*PERF-DF*",Performance_Analysis!B:B,"LOW")</f>
        <v>1</v>
      </c>
      <c r="F5" s="32">
        <f>SUM(B5:E5)</f>
        <v>15</v>
      </c>
      <c r="H5" s="63" t="s">
        <v>383</v>
      </c>
      <c r="I5" s="112" t="s">
        <v>384</v>
      </c>
      <c r="J5" s="112" t="s">
        <v>385</v>
      </c>
    </row>
    <row r="6" spans="1:10" ht="18.75" customHeight="1" x14ac:dyDescent="0.3">
      <c r="A6" s="64" t="s">
        <v>12</v>
      </c>
      <c r="B6" s="28">
        <f>COUNTIFS(Performance_Analysis!A:A,"*PERF-MP*",Performance_Analysis!B:B,"CRITICAL")</f>
        <v>1</v>
      </c>
      <c r="C6" s="29">
        <f>COUNTIFS(Performance_Analysis!A:A,"*PERF-MP*",Performance_Analysis!B:B,"HIGH")</f>
        <v>7</v>
      </c>
      <c r="D6" s="30">
        <f>COUNTIFS(Performance_Analysis!A:A,"*PERF-MP*",Performance_Analysis!B:B,"MEDIUM")</f>
        <v>6</v>
      </c>
      <c r="E6" s="34">
        <f>COUNTIFS(Performance_Analysis!A:A,"*PERF-MP*",Performance_Analysis!B:B,"LOW")</f>
        <v>0</v>
      </c>
      <c r="F6" s="32">
        <f t="shared" si="0"/>
        <v>14</v>
      </c>
      <c r="H6" s="63" t="s">
        <v>386</v>
      </c>
      <c r="I6" s="112" t="s">
        <v>387</v>
      </c>
      <c r="J6" s="112" t="s">
        <v>388</v>
      </c>
    </row>
    <row r="7" spans="1:10" ht="15.6" x14ac:dyDescent="0.3">
      <c r="A7" s="65" t="s">
        <v>14</v>
      </c>
      <c r="B7" s="35">
        <f>COUNTIFS(Performance_Analysis!A:A,"*PERF-MD*",Performance_Analysis!B:B,"CRITICAL")</f>
        <v>2</v>
      </c>
      <c r="C7" s="36">
        <f>COUNTIFS(Performance_Analysis!A:A,"*PERF-MD*",Performance_Analysis!B:B,"HIGH")</f>
        <v>7</v>
      </c>
      <c r="D7" s="37">
        <f>COUNTIFS(Performance_Analysis!A:A,"*PERF-MD*",Performance_Analysis!B:B,"MEDIUM")</f>
        <v>5</v>
      </c>
      <c r="E7" s="38">
        <f>COUNTIFS(Performance_Analysis!A:A,"*PERF-MD*",Performance_Analysis!B:B,"LOW")</f>
        <v>1</v>
      </c>
      <c r="F7" s="39">
        <f t="shared" si="0"/>
        <v>15</v>
      </c>
      <c r="H7" s="63" t="s">
        <v>389</v>
      </c>
      <c r="I7" s="112" t="s">
        <v>390</v>
      </c>
      <c r="J7" s="112" t="s">
        <v>391</v>
      </c>
    </row>
    <row r="8" spans="1:10" ht="15.6" x14ac:dyDescent="0.3">
      <c r="A8" s="65" t="s">
        <v>16</v>
      </c>
      <c r="B8" s="35">
        <f>COUNTIFS(Performance_Analysis!A:A,"*PERF-SA*",Performance_Analysis!B:B,"CRITICAL")</f>
        <v>2</v>
      </c>
      <c r="C8" s="36">
        <f>COUNTIFS(Performance_Analysis!A:A,"*PERF-SA*",Performance_Analysis!B:B,"HIGH")</f>
        <v>4</v>
      </c>
      <c r="D8" s="37">
        <f>COUNTIFS(Performance_Analysis!A:A,"*PERF-SA*",Performance_Analysis!B:B,"MEDIUM")</f>
        <v>3</v>
      </c>
      <c r="E8" s="38">
        <f>COUNTIFS(Performance_Analysis!A:A,"*PERF-SA*",Performance_Analysis!B:B,"LOW")</f>
        <v>3</v>
      </c>
      <c r="F8" s="39">
        <f t="shared" si="0"/>
        <v>12</v>
      </c>
      <c r="H8" s="63" t="s">
        <v>392</v>
      </c>
      <c r="I8" s="112" t="s">
        <v>393</v>
      </c>
      <c r="J8" s="112" t="s">
        <v>394</v>
      </c>
    </row>
    <row r="9" spans="1:10" ht="19.5" customHeight="1" x14ac:dyDescent="0.3">
      <c r="A9" s="64" t="s">
        <v>18</v>
      </c>
      <c r="B9" s="28">
        <f>COUNTIFS(Performance_Analysis!A:A,"*PERF-CR*",Performance_Analysis!B:B,"CRITICAL")</f>
        <v>2</v>
      </c>
      <c r="C9" s="29">
        <f>COUNTIFS(Performance_Analysis!A:A,"*PERF-CR*",Performance_Analysis!B:B,"HIGH")</f>
        <v>2</v>
      </c>
      <c r="D9" s="30">
        <f>COUNTIFS(Performance_Analysis!A:A,"*PERF-CR*",Performance_Analysis!B:B,"MEDIUM")</f>
        <v>2</v>
      </c>
      <c r="E9" s="31">
        <f>COUNTIFS(Performance_Analysis!A:A,"*PERF-CR*",Performance_Analysis!B:B,"LOW")</f>
        <v>1</v>
      </c>
      <c r="F9" s="32">
        <f>SUM(B9:E9)</f>
        <v>7</v>
      </c>
      <c r="H9" s="63" t="s">
        <v>395</v>
      </c>
      <c r="I9" s="112" t="s">
        <v>396</v>
      </c>
      <c r="J9" s="112" t="s">
        <v>397</v>
      </c>
    </row>
    <row r="10" spans="1:10" ht="15.6" x14ac:dyDescent="0.3">
      <c r="A10" s="66" t="s">
        <v>20</v>
      </c>
      <c r="B10" s="40">
        <f>COUNTIFS(Performance_Analysis!A:A,"*PERF-NTH*",Performance_Analysis!B:B,"CRITICAL")</f>
        <v>0</v>
      </c>
      <c r="C10" s="41">
        <f>COUNTIFS(Performance_Analysis!A:A,"*PERF-NTH*",Performance_Analysis!B:B,"HIGH")</f>
        <v>0</v>
      </c>
      <c r="D10" s="42">
        <f>COUNTIFS(Performance_Analysis!A:A,"*PERF-NTH*",Performance_Analysis!B:B,"MEDIUM")</f>
        <v>0</v>
      </c>
      <c r="E10" s="43">
        <f>COUNTIFS(Performance_Analysis!A:A,"*PERF-NTH*",Performance_Analysis!B:B,"LOW")</f>
        <v>10</v>
      </c>
      <c r="F10" s="58">
        <f>SUM(B10:E10)</f>
        <v>10</v>
      </c>
      <c r="H10" s="63" t="s">
        <v>398</v>
      </c>
      <c r="I10" s="112" t="s">
        <v>399</v>
      </c>
      <c r="J10" s="112" t="s">
        <v>400</v>
      </c>
    </row>
    <row r="11" spans="1:10" ht="15.6" x14ac:dyDescent="0.3">
      <c r="A11" s="67" t="s">
        <v>147</v>
      </c>
      <c r="B11" s="44">
        <f>SUM(B3:B10)</f>
        <v>17</v>
      </c>
      <c r="C11" s="45">
        <f>SUM(C3:C10)</f>
        <v>44</v>
      </c>
      <c r="D11" s="46">
        <f>SUM(D3:D10)</f>
        <v>38</v>
      </c>
      <c r="E11" s="47">
        <f>SUM(E3:E10)</f>
        <v>20</v>
      </c>
      <c r="F11" s="48">
        <f t="shared" si="0"/>
        <v>119</v>
      </c>
      <c r="H11" s="63" t="s">
        <v>401</v>
      </c>
      <c r="I11" s="112" t="s">
        <v>402</v>
      </c>
      <c r="J11" s="112" t="s">
        <v>403</v>
      </c>
    </row>
    <row r="12" spans="1:10" x14ac:dyDescent="0.3">
      <c r="H12" s="63" t="s">
        <v>404</v>
      </c>
      <c r="I12" s="112" t="s">
        <v>405</v>
      </c>
      <c r="J12" s="112" t="s">
        <v>406</v>
      </c>
    </row>
    <row r="13" spans="1:10" x14ac:dyDescent="0.3">
      <c r="H13" s="63" t="s">
        <v>407</v>
      </c>
      <c r="I13" s="112" t="s">
        <v>408</v>
      </c>
      <c r="J13" s="112" t="s">
        <v>409</v>
      </c>
    </row>
    <row r="14" spans="1:10" x14ac:dyDescent="0.3">
      <c r="H14" s="63" t="s">
        <v>410</v>
      </c>
      <c r="I14" s="112" t="s">
        <v>411</v>
      </c>
      <c r="J14" s="112" t="s">
        <v>412</v>
      </c>
    </row>
    <row r="15" spans="1:10" x14ac:dyDescent="0.3">
      <c r="H15" s="63" t="s">
        <v>413</v>
      </c>
      <c r="I15" s="112" t="s">
        <v>414</v>
      </c>
      <c r="J15" s="112" t="s">
        <v>415</v>
      </c>
    </row>
    <row r="16" spans="1:10" x14ac:dyDescent="0.3">
      <c r="H16" s="63" t="s">
        <v>416</v>
      </c>
      <c r="I16" s="112" t="s">
        <v>417</v>
      </c>
      <c r="J16" s="112" t="s">
        <v>418</v>
      </c>
    </row>
    <row r="17" spans="8:10" x14ac:dyDescent="0.3">
      <c r="H17" s="63" t="s">
        <v>419</v>
      </c>
      <c r="I17" s="112" t="s">
        <v>420</v>
      </c>
      <c r="J17" s="112" t="s">
        <v>421</v>
      </c>
    </row>
    <row r="18" spans="8:10" x14ac:dyDescent="0.3">
      <c r="H18" s="63" t="s">
        <v>422</v>
      </c>
      <c r="I18" s="112" t="s">
        <v>423</v>
      </c>
      <c r="J18" s="112" t="s">
        <v>424</v>
      </c>
    </row>
    <row r="19" spans="8:10" x14ac:dyDescent="0.3">
      <c r="H19" s="63" t="s">
        <v>425</v>
      </c>
      <c r="I19" s="112" t="s">
        <v>426</v>
      </c>
      <c r="J19" s="112" t="s">
        <v>427</v>
      </c>
    </row>
    <row r="20" spans="8:10" ht="23.25" customHeight="1" x14ac:dyDescent="0.3">
      <c r="H20" s="63" t="s">
        <v>428</v>
      </c>
      <c r="I20" s="112" t="s">
        <v>429</v>
      </c>
      <c r="J20" s="112" t="s">
        <v>430</v>
      </c>
    </row>
    <row r="21" spans="8:10" ht="33" customHeight="1" x14ac:dyDescent="0.3">
      <c r="H21" s="63" t="s">
        <v>431</v>
      </c>
      <c r="I21" s="112" t="s">
        <v>432</v>
      </c>
      <c r="J21" s="112" t="s">
        <v>433</v>
      </c>
    </row>
    <row r="22" spans="8:10" x14ac:dyDescent="0.3">
      <c r="H22" s="63" t="s">
        <v>434</v>
      </c>
      <c r="I22" s="112" t="s">
        <v>435</v>
      </c>
      <c r="J22" s="112" t="s">
        <v>436</v>
      </c>
    </row>
  </sheetData>
  <mergeCells count="3">
    <mergeCell ref="A1:F1"/>
    <mergeCell ref="H1:J1"/>
    <mergeCell ref="G1:G104857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2492-DCC0-4FEF-B8F7-BADC84E801D5}">
  <dimension ref="A1:S121"/>
  <sheetViews>
    <sheetView workbookViewId="0">
      <pane xSplit="4" ySplit="2" topLeftCell="J3" activePane="bottomRight" state="frozen"/>
      <selection pane="topRight"/>
      <selection pane="bottomLeft"/>
      <selection pane="bottomRight" activeCell="K3" sqref="K3"/>
    </sheetView>
  </sheetViews>
  <sheetFormatPr defaultColWidth="9.109375" defaultRowHeight="15" customHeight="1" x14ac:dyDescent="0.3"/>
  <cols>
    <col min="1" max="1" width="14" style="1" customWidth="1"/>
    <col min="2" max="2" width="14.6640625" style="1" customWidth="1"/>
    <col min="3" max="3" width="18.44140625" style="1" customWidth="1"/>
    <col min="4" max="4" width="28.6640625" style="1" customWidth="1"/>
    <col min="5" max="5" width="26.6640625" style="2" customWidth="1"/>
    <col min="6" max="6" width="38.5546875" style="2" customWidth="1"/>
    <col min="7" max="7" width="40.6640625" style="2" customWidth="1"/>
    <col min="8" max="8" width="57.6640625" style="2" customWidth="1"/>
    <col min="9" max="9" width="40.6640625" style="2" customWidth="1"/>
    <col min="10" max="10" width="19.6640625" style="2" customWidth="1"/>
    <col min="11" max="11" width="19.6640625" style="165" customWidth="1"/>
    <col min="12" max="12" width="19.6640625" style="59" customWidth="1"/>
    <col min="13" max="13" width="38" style="2" customWidth="1"/>
    <col min="14" max="14" width="16.33203125" style="2" customWidth="1"/>
    <col min="15" max="15" width="16.88671875" style="2" customWidth="1"/>
    <col min="16" max="16" width="19.6640625" style="2" customWidth="1"/>
    <col min="17" max="17" width="45.44140625" style="2" customWidth="1"/>
    <col min="18" max="18" width="17.88671875" style="2" customWidth="1"/>
    <col min="19" max="19" width="26.88671875" style="2" customWidth="1"/>
    <col min="20" max="16384" width="9.109375" style="2"/>
  </cols>
  <sheetData>
    <row r="1" spans="1:19" s="59" customFormat="1" ht="45.75" customHeight="1" x14ac:dyDescent="0.3">
      <c r="A1" s="277" t="s">
        <v>152</v>
      </c>
      <c r="B1" s="278"/>
      <c r="C1" s="278"/>
      <c r="D1" s="278"/>
      <c r="E1" s="278"/>
      <c r="F1" s="278"/>
      <c r="G1" s="278"/>
      <c r="H1" s="278"/>
      <c r="I1" s="278"/>
      <c r="J1" s="278"/>
      <c r="K1" s="278"/>
      <c r="L1" s="279"/>
      <c r="M1" s="274" t="s">
        <v>153</v>
      </c>
      <c r="N1" s="275"/>
      <c r="O1" s="275"/>
      <c r="P1" s="275"/>
      <c r="Q1" s="276" t="s">
        <v>152</v>
      </c>
      <c r="R1" s="276"/>
      <c r="S1" s="68"/>
    </row>
    <row r="2" spans="1:19" s="59" customFormat="1" ht="24" customHeight="1" x14ac:dyDescent="0.3">
      <c r="A2" s="5" t="s">
        <v>60</v>
      </c>
      <c r="B2" s="5" t="s">
        <v>154</v>
      </c>
      <c r="C2" s="5" t="s">
        <v>1</v>
      </c>
      <c r="D2" s="5" t="s">
        <v>61</v>
      </c>
      <c r="E2" s="5" t="s">
        <v>155</v>
      </c>
      <c r="F2" s="5" t="s">
        <v>25</v>
      </c>
      <c r="G2" s="5" t="s">
        <v>156</v>
      </c>
      <c r="H2" s="5" t="s">
        <v>165</v>
      </c>
      <c r="I2" s="5" t="s">
        <v>437</v>
      </c>
      <c r="J2" s="5" t="s">
        <v>159</v>
      </c>
      <c r="K2" s="168" t="s">
        <v>438</v>
      </c>
      <c r="L2" s="5" t="s">
        <v>23</v>
      </c>
      <c r="M2" s="6" t="s">
        <v>160</v>
      </c>
      <c r="N2" s="4" t="s">
        <v>161</v>
      </c>
      <c r="O2" s="4" t="s">
        <v>162</v>
      </c>
      <c r="P2" s="4" t="s">
        <v>163</v>
      </c>
      <c r="Q2" s="57" t="s">
        <v>164</v>
      </c>
      <c r="R2" s="57" t="s">
        <v>163</v>
      </c>
      <c r="S2" s="4" t="s">
        <v>166</v>
      </c>
    </row>
    <row r="3" spans="1:19" ht="211.5" customHeight="1" x14ac:dyDescent="0.3">
      <c r="A3" s="24" t="s">
        <v>439</v>
      </c>
      <c r="B3" s="23" t="s">
        <v>305</v>
      </c>
      <c r="C3" s="68" t="s">
        <v>440</v>
      </c>
      <c r="D3" s="68" t="s">
        <v>103</v>
      </c>
      <c r="E3" s="68" t="s">
        <v>360</v>
      </c>
      <c r="F3" s="113" t="s">
        <v>361</v>
      </c>
      <c r="G3" s="113" t="s">
        <v>441</v>
      </c>
      <c r="H3" s="113" t="s">
        <v>442</v>
      </c>
      <c r="I3" s="113" t="s">
        <v>443</v>
      </c>
      <c r="J3" s="115">
        <v>45966</v>
      </c>
      <c r="K3" s="169">
        <v>2</v>
      </c>
      <c r="L3" s="128">
        <v>6</v>
      </c>
      <c r="M3" s="113" t="s">
        <v>363</v>
      </c>
      <c r="N3" s="113" t="s">
        <v>215</v>
      </c>
      <c r="O3" s="113" t="s">
        <v>176</v>
      </c>
      <c r="P3" s="114">
        <v>45964</v>
      </c>
      <c r="Q3" s="7" t="s">
        <v>444</v>
      </c>
      <c r="R3" s="115">
        <v>45965</v>
      </c>
      <c r="S3" s="113"/>
    </row>
    <row r="4" spans="1:19" ht="160.5" customHeight="1" x14ac:dyDescent="0.3">
      <c r="A4" s="68" t="s">
        <v>119</v>
      </c>
      <c r="B4" s="25" t="s">
        <v>167</v>
      </c>
      <c r="C4" s="68" t="s">
        <v>440</v>
      </c>
      <c r="D4" s="24" t="s">
        <v>120</v>
      </c>
      <c r="E4" s="24" t="s">
        <v>445</v>
      </c>
      <c r="F4" s="7" t="s">
        <v>446</v>
      </c>
      <c r="G4" s="7" t="s">
        <v>447</v>
      </c>
      <c r="H4" s="113" t="s">
        <v>448</v>
      </c>
      <c r="I4" s="7" t="s">
        <v>449</v>
      </c>
      <c r="J4" s="116">
        <v>45963</v>
      </c>
      <c r="K4" s="169">
        <v>5</v>
      </c>
      <c r="L4" s="68">
        <v>3</v>
      </c>
      <c r="M4" s="113"/>
      <c r="N4" s="113"/>
      <c r="O4" s="113"/>
      <c r="P4" s="113"/>
      <c r="Q4" s="113"/>
      <c r="R4" s="113"/>
      <c r="S4" s="113"/>
    </row>
    <row r="5" spans="1:19" ht="178.5" customHeight="1" x14ac:dyDescent="0.3">
      <c r="A5" s="24" t="s">
        <v>121</v>
      </c>
      <c r="B5" s="25" t="s">
        <v>167</v>
      </c>
      <c r="C5" s="68" t="s">
        <v>440</v>
      </c>
      <c r="D5" s="24" t="s">
        <v>122</v>
      </c>
      <c r="E5" s="24" t="s">
        <v>450</v>
      </c>
      <c r="F5" s="7" t="s">
        <v>451</v>
      </c>
      <c r="G5" s="7" t="s">
        <v>452</v>
      </c>
      <c r="H5" s="113" t="s">
        <v>442</v>
      </c>
      <c r="I5" s="7" t="s">
        <v>453</v>
      </c>
      <c r="J5" s="116">
        <v>45963</v>
      </c>
      <c r="K5" s="169">
        <v>4</v>
      </c>
      <c r="L5" s="68">
        <v>3</v>
      </c>
      <c r="M5" s="113"/>
      <c r="N5" s="113"/>
      <c r="O5" s="113"/>
      <c r="P5" s="113"/>
      <c r="Q5" s="113"/>
      <c r="R5" s="113"/>
      <c r="S5" s="113"/>
    </row>
    <row r="6" spans="1:19" ht="100.8" x14ac:dyDescent="0.3">
      <c r="A6" s="68" t="s">
        <v>133</v>
      </c>
      <c r="B6" s="25" t="s">
        <v>167</v>
      </c>
      <c r="C6" s="68" t="s">
        <v>454</v>
      </c>
      <c r="D6" s="24" t="s">
        <v>134</v>
      </c>
      <c r="E6" s="24" t="s">
        <v>455</v>
      </c>
      <c r="F6" s="7" t="s">
        <v>456</v>
      </c>
      <c r="G6" s="7" t="s">
        <v>457</v>
      </c>
      <c r="H6" s="113" t="s">
        <v>458</v>
      </c>
      <c r="I6" s="7" t="s">
        <v>459</v>
      </c>
      <c r="J6" s="116">
        <v>45963</v>
      </c>
      <c r="K6" s="169">
        <v>3</v>
      </c>
      <c r="L6" s="72">
        <v>3</v>
      </c>
      <c r="M6" s="113"/>
      <c r="N6" s="113"/>
      <c r="O6" s="113"/>
      <c r="P6" s="113"/>
      <c r="Q6" s="113"/>
      <c r="R6" s="113"/>
      <c r="S6" s="113"/>
    </row>
    <row r="7" spans="1:19" ht="100.8" x14ac:dyDescent="0.3">
      <c r="A7" s="24" t="s">
        <v>135</v>
      </c>
      <c r="B7" s="25" t="s">
        <v>167</v>
      </c>
      <c r="C7" s="68" t="s">
        <v>454</v>
      </c>
      <c r="D7" s="24" t="s">
        <v>136</v>
      </c>
      <c r="E7" s="24" t="s">
        <v>460</v>
      </c>
      <c r="F7" s="7" t="s">
        <v>461</v>
      </c>
      <c r="G7" s="7" t="s">
        <v>462</v>
      </c>
      <c r="H7" s="113" t="s">
        <v>458</v>
      </c>
      <c r="I7" s="7" t="s">
        <v>463</v>
      </c>
      <c r="J7" s="116">
        <v>45963</v>
      </c>
      <c r="K7" s="169">
        <v>3</v>
      </c>
      <c r="L7" s="72">
        <v>3</v>
      </c>
      <c r="M7" s="113"/>
      <c r="N7" s="113"/>
      <c r="O7" s="113"/>
      <c r="P7" s="113"/>
      <c r="Q7" s="113"/>
      <c r="R7" s="113"/>
      <c r="S7" s="113"/>
    </row>
    <row r="8" spans="1:19" ht="127.5" customHeight="1" x14ac:dyDescent="0.3">
      <c r="A8" s="68" t="s">
        <v>464</v>
      </c>
      <c r="B8" s="25" t="s">
        <v>167</v>
      </c>
      <c r="C8" s="68" t="s">
        <v>465</v>
      </c>
      <c r="D8" s="24" t="s">
        <v>466</v>
      </c>
      <c r="E8" s="24" t="s">
        <v>467</v>
      </c>
      <c r="F8" s="7" t="s">
        <v>468</v>
      </c>
      <c r="G8" s="7" t="s">
        <v>469</v>
      </c>
      <c r="H8" s="113" t="s">
        <v>470</v>
      </c>
      <c r="I8" s="7" t="s">
        <v>471</v>
      </c>
      <c r="J8" s="116">
        <v>45963</v>
      </c>
      <c r="K8" s="169">
        <v>5</v>
      </c>
      <c r="L8" s="72">
        <v>3</v>
      </c>
      <c r="M8" s="113"/>
      <c r="N8" s="113"/>
      <c r="O8" s="113"/>
      <c r="P8" s="113"/>
      <c r="Q8" s="113"/>
      <c r="R8" s="113"/>
      <c r="S8" s="113"/>
    </row>
    <row r="9" spans="1:19" ht="153" customHeight="1" x14ac:dyDescent="0.3">
      <c r="A9" s="24" t="s">
        <v>472</v>
      </c>
      <c r="B9" s="26" t="s">
        <v>219</v>
      </c>
      <c r="C9" s="68" t="s">
        <v>473</v>
      </c>
      <c r="D9" s="24" t="s">
        <v>474</v>
      </c>
      <c r="E9" s="24" t="s">
        <v>475</v>
      </c>
      <c r="F9" s="7" t="s">
        <v>476</v>
      </c>
      <c r="G9" s="7" t="s">
        <v>477</v>
      </c>
      <c r="H9" s="113" t="s">
        <v>478</v>
      </c>
      <c r="I9" s="7" t="s">
        <v>479</v>
      </c>
      <c r="J9" s="116">
        <v>45963</v>
      </c>
      <c r="K9" s="169">
        <v>2</v>
      </c>
      <c r="L9" s="113">
        <v>4</v>
      </c>
      <c r="M9" s="113"/>
      <c r="N9" s="113"/>
      <c r="O9" s="113"/>
      <c r="P9" s="113"/>
      <c r="Q9" s="113"/>
      <c r="R9" s="113"/>
      <c r="S9" s="113"/>
    </row>
    <row r="10" spans="1:19" ht="160.5" customHeight="1" x14ac:dyDescent="0.3">
      <c r="A10" s="68" t="s">
        <v>480</v>
      </c>
      <c r="B10" s="26" t="s">
        <v>219</v>
      </c>
      <c r="C10" s="68" t="s">
        <v>454</v>
      </c>
      <c r="D10" s="24" t="s">
        <v>481</v>
      </c>
      <c r="E10" s="24" t="s">
        <v>482</v>
      </c>
      <c r="F10" s="7" t="s">
        <v>483</v>
      </c>
      <c r="G10" s="7" t="s">
        <v>484</v>
      </c>
      <c r="H10" s="113" t="s">
        <v>485</v>
      </c>
      <c r="I10" s="7" t="s">
        <v>486</v>
      </c>
      <c r="J10" s="116">
        <v>45963</v>
      </c>
      <c r="K10" s="169">
        <v>2</v>
      </c>
      <c r="L10" s="127">
        <v>4</v>
      </c>
      <c r="M10" s="113"/>
      <c r="N10" s="113"/>
      <c r="O10" s="113"/>
      <c r="P10" s="113"/>
      <c r="Q10" s="113"/>
      <c r="R10" s="113"/>
      <c r="S10" s="113"/>
    </row>
    <row r="11" spans="1:19" ht="100.8" x14ac:dyDescent="0.3">
      <c r="A11" s="24" t="s">
        <v>487</v>
      </c>
      <c r="B11" s="26" t="s">
        <v>219</v>
      </c>
      <c r="C11" s="68" t="s">
        <v>488</v>
      </c>
      <c r="D11" s="24" t="s">
        <v>489</v>
      </c>
      <c r="E11" s="24" t="s">
        <v>490</v>
      </c>
      <c r="F11" s="7" t="s">
        <v>491</v>
      </c>
      <c r="G11" s="7" t="s">
        <v>492</v>
      </c>
      <c r="H11" s="113" t="s">
        <v>493</v>
      </c>
      <c r="I11" s="7" t="s">
        <v>494</v>
      </c>
      <c r="J11" s="116">
        <v>45963</v>
      </c>
      <c r="K11" s="169">
        <v>2</v>
      </c>
      <c r="L11" s="127">
        <v>4</v>
      </c>
      <c r="M11" s="113"/>
      <c r="N11" s="113"/>
      <c r="O11" s="113"/>
      <c r="P11" s="113"/>
      <c r="Q11" s="113"/>
      <c r="R11" s="113"/>
      <c r="S11" s="113"/>
    </row>
    <row r="12" spans="1:19" ht="184.5" customHeight="1" x14ac:dyDescent="0.3">
      <c r="A12" s="68" t="s">
        <v>123</v>
      </c>
      <c r="B12" s="26" t="s">
        <v>219</v>
      </c>
      <c r="C12" s="68" t="s">
        <v>440</v>
      </c>
      <c r="D12" s="24" t="s">
        <v>124</v>
      </c>
      <c r="E12" s="24" t="s">
        <v>495</v>
      </c>
      <c r="F12" s="7" t="s">
        <v>496</v>
      </c>
      <c r="G12" s="7" t="s">
        <v>497</v>
      </c>
      <c r="H12" s="113" t="s">
        <v>498</v>
      </c>
      <c r="I12" s="7" t="s">
        <v>499</v>
      </c>
      <c r="J12" s="116">
        <v>45963</v>
      </c>
      <c r="K12" s="169">
        <v>2</v>
      </c>
      <c r="L12" s="127">
        <v>4</v>
      </c>
      <c r="M12" s="113"/>
      <c r="N12" s="113"/>
      <c r="O12" s="113"/>
      <c r="P12" s="113"/>
      <c r="Q12" s="113"/>
      <c r="R12" s="113"/>
      <c r="S12" s="113"/>
    </row>
    <row r="13" spans="1:19" ht="184.5" customHeight="1" x14ac:dyDescent="0.3">
      <c r="A13" s="24" t="s">
        <v>125</v>
      </c>
      <c r="B13" s="26" t="s">
        <v>219</v>
      </c>
      <c r="C13" s="68" t="s">
        <v>440</v>
      </c>
      <c r="D13" s="24" t="s">
        <v>126</v>
      </c>
      <c r="E13" s="24" t="s">
        <v>500</v>
      </c>
      <c r="F13" s="7" t="s">
        <v>501</v>
      </c>
      <c r="G13" s="7" t="s">
        <v>502</v>
      </c>
      <c r="H13" s="113" t="s">
        <v>503</v>
      </c>
      <c r="I13" s="7" t="s">
        <v>504</v>
      </c>
      <c r="J13" s="116">
        <v>45963</v>
      </c>
      <c r="K13" s="169">
        <v>3</v>
      </c>
      <c r="L13" s="127">
        <v>4</v>
      </c>
      <c r="M13" s="113"/>
      <c r="N13" s="113"/>
      <c r="O13" s="113"/>
      <c r="P13" s="113"/>
      <c r="Q13" s="113"/>
      <c r="R13" s="113"/>
      <c r="S13" s="113"/>
    </row>
    <row r="14" spans="1:19" ht="177.75" customHeight="1" x14ac:dyDescent="0.3">
      <c r="A14" s="68" t="s">
        <v>505</v>
      </c>
      <c r="B14" s="26" t="s">
        <v>219</v>
      </c>
      <c r="C14" s="68" t="s">
        <v>454</v>
      </c>
      <c r="D14" s="24" t="s">
        <v>506</v>
      </c>
      <c r="E14" s="24" t="s">
        <v>507</v>
      </c>
      <c r="F14" s="7" t="s">
        <v>508</v>
      </c>
      <c r="G14" s="7" t="s">
        <v>509</v>
      </c>
      <c r="H14" s="113" t="s">
        <v>510</v>
      </c>
      <c r="I14" s="7" t="s">
        <v>511</v>
      </c>
      <c r="J14" s="116">
        <v>45963</v>
      </c>
      <c r="K14" s="169">
        <v>2</v>
      </c>
      <c r="L14" s="127">
        <v>4</v>
      </c>
      <c r="M14" s="113"/>
      <c r="N14" s="113"/>
      <c r="O14" s="113"/>
      <c r="P14" s="113"/>
      <c r="Q14" s="113"/>
      <c r="R14" s="113"/>
      <c r="S14" s="113"/>
    </row>
    <row r="15" spans="1:19" ht="189.75" customHeight="1" x14ac:dyDescent="0.3">
      <c r="A15" s="24" t="s">
        <v>129</v>
      </c>
      <c r="B15" s="26" t="s">
        <v>219</v>
      </c>
      <c r="C15" s="68" t="s">
        <v>440</v>
      </c>
      <c r="D15" s="24" t="s">
        <v>130</v>
      </c>
      <c r="E15" s="24" t="s">
        <v>512</v>
      </c>
      <c r="F15" s="7" t="s">
        <v>513</v>
      </c>
      <c r="G15" s="7" t="s">
        <v>514</v>
      </c>
      <c r="H15" s="113" t="s">
        <v>498</v>
      </c>
      <c r="I15" s="7" t="s">
        <v>515</v>
      </c>
      <c r="J15" s="116">
        <v>45963</v>
      </c>
      <c r="K15" s="169">
        <v>3</v>
      </c>
      <c r="L15" s="127">
        <v>4</v>
      </c>
      <c r="M15" s="113"/>
      <c r="N15" s="113"/>
      <c r="O15" s="113"/>
      <c r="P15" s="113"/>
      <c r="Q15" s="113"/>
      <c r="R15" s="113"/>
      <c r="S15" s="113"/>
    </row>
    <row r="16" spans="1:19" ht="146.25" customHeight="1" x14ac:dyDescent="0.3">
      <c r="A16" s="68" t="s">
        <v>516</v>
      </c>
      <c r="B16" s="23" t="s">
        <v>305</v>
      </c>
      <c r="C16" s="68" t="s">
        <v>454</v>
      </c>
      <c r="D16" s="24" t="s">
        <v>517</v>
      </c>
      <c r="E16" s="24" t="s">
        <v>518</v>
      </c>
      <c r="F16" s="7" t="s">
        <v>519</v>
      </c>
      <c r="G16" s="7" t="s">
        <v>520</v>
      </c>
      <c r="H16" s="113" t="s">
        <v>521</v>
      </c>
      <c r="I16" s="7" t="s">
        <v>522</v>
      </c>
      <c r="J16" s="116">
        <v>45964</v>
      </c>
      <c r="K16" s="169">
        <v>2</v>
      </c>
      <c r="L16" s="128">
        <v>6</v>
      </c>
      <c r="M16" s="113"/>
      <c r="N16" s="113"/>
      <c r="O16" s="113"/>
      <c r="P16" s="113"/>
      <c r="Q16" s="113"/>
      <c r="R16" s="113"/>
      <c r="S16" s="113"/>
    </row>
    <row r="17" spans="1:19" ht="129.75" customHeight="1" x14ac:dyDescent="0.3">
      <c r="A17" s="24" t="s">
        <v>523</v>
      </c>
      <c r="B17" s="23" t="s">
        <v>305</v>
      </c>
      <c r="C17" s="68" t="s">
        <v>524</v>
      </c>
      <c r="D17" s="24" t="s">
        <v>525</v>
      </c>
      <c r="E17" s="24" t="s">
        <v>526</v>
      </c>
      <c r="F17" s="7" t="s">
        <v>527</v>
      </c>
      <c r="G17" s="7" t="s">
        <v>528</v>
      </c>
      <c r="H17" s="113" t="s">
        <v>529</v>
      </c>
      <c r="I17" s="7" t="s">
        <v>530</v>
      </c>
      <c r="J17" s="116">
        <v>45964</v>
      </c>
      <c r="K17" s="169">
        <v>2</v>
      </c>
      <c r="L17" s="128">
        <v>6</v>
      </c>
      <c r="M17" s="113"/>
      <c r="N17" s="113"/>
      <c r="O17" s="113"/>
      <c r="P17" s="113"/>
      <c r="Q17" s="113"/>
      <c r="R17" s="113"/>
      <c r="S17" s="113"/>
    </row>
    <row r="18" spans="1:19" ht="166.5" customHeight="1" x14ac:dyDescent="0.3">
      <c r="A18" s="68" t="s">
        <v>531</v>
      </c>
      <c r="B18" s="23" t="s">
        <v>305</v>
      </c>
      <c r="C18" s="68" t="s">
        <v>454</v>
      </c>
      <c r="D18" s="24" t="s">
        <v>532</v>
      </c>
      <c r="E18" s="24" t="s">
        <v>533</v>
      </c>
      <c r="F18" s="7" t="s">
        <v>534</v>
      </c>
      <c r="G18" s="7" t="s">
        <v>535</v>
      </c>
      <c r="H18" s="113" t="s">
        <v>536</v>
      </c>
      <c r="I18" s="7" t="s">
        <v>537</v>
      </c>
      <c r="J18" s="116">
        <v>45964</v>
      </c>
      <c r="K18" s="169">
        <v>2</v>
      </c>
      <c r="L18" s="128">
        <v>6</v>
      </c>
      <c r="M18" s="113"/>
      <c r="N18" s="113"/>
      <c r="O18" s="113"/>
      <c r="P18" s="113"/>
      <c r="Q18" s="113"/>
      <c r="R18" s="113"/>
      <c r="S18" s="113"/>
    </row>
    <row r="19" spans="1:19" ht="114.75" customHeight="1" x14ac:dyDescent="0.3">
      <c r="A19" s="24" t="s">
        <v>538</v>
      </c>
      <c r="B19" s="27" t="s">
        <v>539</v>
      </c>
      <c r="C19" s="68" t="s">
        <v>524</v>
      </c>
      <c r="D19" s="24" t="s">
        <v>540</v>
      </c>
      <c r="E19" s="24" t="s">
        <v>541</v>
      </c>
      <c r="F19" s="7" t="s">
        <v>542</v>
      </c>
      <c r="G19" s="7" t="s">
        <v>543</v>
      </c>
      <c r="H19" s="113" t="s">
        <v>544</v>
      </c>
      <c r="I19" s="7" t="s">
        <v>545</v>
      </c>
      <c r="J19" s="116">
        <v>45964</v>
      </c>
      <c r="K19" s="169">
        <v>1</v>
      </c>
      <c r="L19" s="128">
        <v>6</v>
      </c>
      <c r="M19" s="113"/>
      <c r="N19" s="113"/>
      <c r="O19" s="113"/>
      <c r="P19" s="113"/>
      <c r="Q19" s="113"/>
      <c r="R19" s="113"/>
      <c r="S19" s="113"/>
    </row>
    <row r="20" spans="1:19" ht="172.5" customHeight="1" x14ac:dyDescent="0.3">
      <c r="A20" s="68" t="s">
        <v>546</v>
      </c>
      <c r="B20" s="23" t="s">
        <v>305</v>
      </c>
      <c r="C20" s="68" t="s">
        <v>440</v>
      </c>
      <c r="D20" s="24" t="s">
        <v>547</v>
      </c>
      <c r="E20" s="24" t="s">
        <v>548</v>
      </c>
      <c r="F20" s="7" t="s">
        <v>549</v>
      </c>
      <c r="G20" s="7" t="s">
        <v>550</v>
      </c>
      <c r="H20" s="113" t="s">
        <v>551</v>
      </c>
      <c r="I20" s="7" t="s">
        <v>511</v>
      </c>
      <c r="J20" s="116">
        <v>45964</v>
      </c>
      <c r="K20" s="169">
        <v>1</v>
      </c>
      <c r="L20" s="128">
        <v>6</v>
      </c>
      <c r="M20" s="113"/>
      <c r="N20" s="113"/>
      <c r="O20" s="113"/>
      <c r="P20" s="113"/>
      <c r="Q20" s="113"/>
      <c r="R20" s="113"/>
      <c r="S20" s="113"/>
    </row>
    <row r="21" spans="1:19" ht="145.5" customHeight="1" x14ac:dyDescent="0.3">
      <c r="A21" s="24" t="s">
        <v>552</v>
      </c>
      <c r="B21" s="23" t="s">
        <v>305</v>
      </c>
      <c r="C21" s="68" t="s">
        <v>454</v>
      </c>
      <c r="D21" s="24" t="s">
        <v>553</v>
      </c>
      <c r="E21" s="24" t="s">
        <v>554</v>
      </c>
      <c r="F21" s="7" t="s">
        <v>555</v>
      </c>
      <c r="G21" s="7" t="s">
        <v>556</v>
      </c>
      <c r="H21" s="113" t="s">
        <v>557</v>
      </c>
      <c r="I21" s="7" t="s">
        <v>558</v>
      </c>
      <c r="J21" s="116">
        <v>45964</v>
      </c>
      <c r="K21" s="169">
        <v>1</v>
      </c>
      <c r="L21" s="128">
        <v>6</v>
      </c>
      <c r="M21" s="113"/>
      <c r="N21" s="113"/>
      <c r="O21" s="113"/>
      <c r="P21" s="113"/>
      <c r="Q21" s="113"/>
      <c r="R21" s="113"/>
      <c r="S21" s="113"/>
    </row>
    <row r="22" spans="1:19" ht="140.25" customHeight="1" x14ac:dyDescent="0.3">
      <c r="A22" s="68" t="s">
        <v>559</v>
      </c>
      <c r="B22" s="23" t="s">
        <v>305</v>
      </c>
      <c r="C22" s="68" t="s">
        <v>440</v>
      </c>
      <c r="D22" s="24" t="s">
        <v>560</v>
      </c>
      <c r="E22" s="24" t="s">
        <v>561</v>
      </c>
      <c r="F22" s="7" t="s">
        <v>562</v>
      </c>
      <c r="G22" s="7" t="s">
        <v>563</v>
      </c>
      <c r="H22" s="113" t="s">
        <v>564</v>
      </c>
      <c r="I22" s="7" t="s">
        <v>565</v>
      </c>
      <c r="J22" s="116">
        <v>45964</v>
      </c>
      <c r="K22" s="169">
        <v>1</v>
      </c>
      <c r="L22" s="128">
        <v>6</v>
      </c>
      <c r="M22" s="113"/>
      <c r="N22" s="113"/>
      <c r="O22" s="113"/>
      <c r="P22" s="113"/>
      <c r="Q22" s="113"/>
      <c r="R22" s="113"/>
      <c r="S22" s="113"/>
    </row>
    <row r="23" spans="1:19" ht="145.5" customHeight="1" x14ac:dyDescent="0.3">
      <c r="A23" s="24" t="s">
        <v>566</v>
      </c>
      <c r="B23" s="23" t="s">
        <v>305</v>
      </c>
      <c r="C23" s="68" t="s">
        <v>473</v>
      </c>
      <c r="D23" s="24" t="s">
        <v>567</v>
      </c>
      <c r="E23" s="24" t="s">
        <v>568</v>
      </c>
      <c r="F23" s="7" t="s">
        <v>569</v>
      </c>
      <c r="G23" s="7" t="s">
        <v>570</v>
      </c>
      <c r="H23" s="113" t="s">
        <v>571</v>
      </c>
      <c r="I23" s="7" t="s">
        <v>572</v>
      </c>
      <c r="J23" s="116">
        <v>45964</v>
      </c>
      <c r="K23" s="169">
        <v>1</v>
      </c>
      <c r="L23" s="128">
        <v>6</v>
      </c>
      <c r="M23" s="113"/>
      <c r="N23" s="113"/>
      <c r="O23" s="113"/>
      <c r="P23" s="113"/>
      <c r="Q23" s="113"/>
      <c r="R23" s="113"/>
      <c r="S23" s="113"/>
    </row>
    <row r="24" spans="1:19" ht="154.5" customHeight="1" x14ac:dyDescent="0.3">
      <c r="A24" s="68" t="s">
        <v>573</v>
      </c>
      <c r="B24" s="27" t="s">
        <v>539</v>
      </c>
      <c r="C24" s="68" t="s">
        <v>454</v>
      </c>
      <c r="D24" s="24" t="s">
        <v>574</v>
      </c>
      <c r="E24" s="24" t="s">
        <v>575</v>
      </c>
      <c r="F24" s="7" t="s">
        <v>576</v>
      </c>
      <c r="G24" s="7" t="s">
        <v>577</v>
      </c>
      <c r="H24" s="113" t="s">
        <v>578</v>
      </c>
      <c r="I24" s="7" t="s">
        <v>579</v>
      </c>
      <c r="J24" s="116">
        <v>45964</v>
      </c>
      <c r="K24" s="169">
        <v>1</v>
      </c>
      <c r="L24" s="128">
        <v>6</v>
      </c>
      <c r="M24" s="113"/>
      <c r="N24" s="113"/>
      <c r="O24" s="113"/>
      <c r="P24" s="113"/>
      <c r="Q24" s="113"/>
      <c r="R24" s="113"/>
      <c r="S24" s="113"/>
    </row>
    <row r="25" spans="1:19" ht="100.8" x14ac:dyDescent="0.3">
      <c r="A25" s="24" t="s">
        <v>580</v>
      </c>
      <c r="B25" s="27" t="s">
        <v>539</v>
      </c>
      <c r="C25" s="68" t="s">
        <v>581</v>
      </c>
      <c r="D25" s="24" t="s">
        <v>582</v>
      </c>
      <c r="E25" s="24" t="s">
        <v>583</v>
      </c>
      <c r="F25" s="7" t="s">
        <v>584</v>
      </c>
      <c r="G25" s="7" t="s">
        <v>585</v>
      </c>
      <c r="H25" s="113" t="s">
        <v>586</v>
      </c>
      <c r="I25" s="7" t="s">
        <v>587</v>
      </c>
      <c r="J25" s="116">
        <v>45964</v>
      </c>
      <c r="K25" s="169">
        <v>1</v>
      </c>
      <c r="L25" s="128">
        <v>6</v>
      </c>
      <c r="M25" s="113"/>
      <c r="N25" s="113"/>
      <c r="O25" s="113"/>
      <c r="P25" s="113"/>
      <c r="Q25" s="113"/>
      <c r="R25" s="113"/>
      <c r="S25" s="113"/>
    </row>
    <row r="26" spans="1:19" ht="144.75" customHeight="1" x14ac:dyDescent="0.3">
      <c r="A26" s="68" t="s">
        <v>588</v>
      </c>
      <c r="B26" s="23" t="s">
        <v>305</v>
      </c>
      <c r="C26" s="68" t="s">
        <v>454</v>
      </c>
      <c r="D26" s="24" t="s">
        <v>589</v>
      </c>
      <c r="E26" s="24" t="s">
        <v>590</v>
      </c>
      <c r="F26" s="7" t="s">
        <v>591</v>
      </c>
      <c r="G26" s="7" t="s">
        <v>592</v>
      </c>
      <c r="H26" s="113" t="s">
        <v>593</v>
      </c>
      <c r="I26" s="7" t="s">
        <v>594</v>
      </c>
      <c r="J26" s="116">
        <v>45964</v>
      </c>
      <c r="K26" s="169">
        <v>2</v>
      </c>
      <c r="L26" s="128">
        <v>6</v>
      </c>
      <c r="M26" s="113"/>
      <c r="N26" s="113"/>
      <c r="O26" s="113"/>
      <c r="P26" s="113"/>
      <c r="Q26" s="113"/>
      <c r="R26" s="113"/>
      <c r="S26" s="113"/>
    </row>
    <row r="27" spans="1:19" ht="129.75" customHeight="1" x14ac:dyDescent="0.3">
      <c r="A27" s="24" t="s">
        <v>595</v>
      </c>
      <c r="B27" s="25" t="s">
        <v>167</v>
      </c>
      <c r="C27" s="68" t="s">
        <v>454</v>
      </c>
      <c r="D27" s="24" t="s">
        <v>596</v>
      </c>
      <c r="E27" s="24" t="s">
        <v>597</v>
      </c>
      <c r="F27" s="7" t="s">
        <v>598</v>
      </c>
      <c r="G27" s="7" t="s">
        <v>599</v>
      </c>
      <c r="H27" s="113" t="s">
        <v>600</v>
      </c>
      <c r="I27" s="7" t="s">
        <v>601</v>
      </c>
      <c r="J27" s="116">
        <v>45964</v>
      </c>
      <c r="K27" s="169">
        <v>4</v>
      </c>
      <c r="L27" s="72">
        <v>3</v>
      </c>
      <c r="M27" s="113"/>
      <c r="N27" s="113"/>
      <c r="O27" s="113"/>
      <c r="P27" s="113"/>
      <c r="Q27" s="113"/>
      <c r="R27" s="113"/>
      <c r="S27" s="113"/>
    </row>
    <row r="28" spans="1:19" ht="126.75" customHeight="1" x14ac:dyDescent="0.3">
      <c r="A28" s="68" t="s">
        <v>602</v>
      </c>
      <c r="B28" s="26" t="s">
        <v>219</v>
      </c>
      <c r="C28" s="68" t="s">
        <v>603</v>
      </c>
      <c r="D28" s="24" t="s">
        <v>604</v>
      </c>
      <c r="E28" s="24" t="s">
        <v>605</v>
      </c>
      <c r="F28" s="7" t="s">
        <v>606</v>
      </c>
      <c r="G28" s="7" t="s">
        <v>607</v>
      </c>
      <c r="H28" s="113" t="s">
        <v>608</v>
      </c>
      <c r="I28" s="7" t="s">
        <v>609</v>
      </c>
      <c r="J28" s="116">
        <v>45964</v>
      </c>
      <c r="K28" s="169">
        <v>2</v>
      </c>
      <c r="L28" s="127">
        <v>4</v>
      </c>
      <c r="M28" s="113"/>
      <c r="N28" s="113"/>
      <c r="O28" s="113"/>
      <c r="P28" s="113"/>
      <c r="Q28" s="113"/>
      <c r="R28" s="113"/>
      <c r="S28" s="113"/>
    </row>
    <row r="29" spans="1:19" ht="145.5" customHeight="1" x14ac:dyDescent="0.3">
      <c r="A29" s="24" t="s">
        <v>610</v>
      </c>
      <c r="B29" s="26" t="s">
        <v>219</v>
      </c>
      <c r="C29" s="68" t="s">
        <v>611</v>
      </c>
      <c r="D29" s="24" t="s">
        <v>612</v>
      </c>
      <c r="E29" s="24" t="s">
        <v>613</v>
      </c>
      <c r="F29" s="7" t="s">
        <v>614</v>
      </c>
      <c r="G29" s="7" t="s">
        <v>615</v>
      </c>
      <c r="H29" s="113" t="s">
        <v>616</v>
      </c>
      <c r="I29" s="7" t="s">
        <v>617</v>
      </c>
      <c r="J29" s="116">
        <v>45964</v>
      </c>
      <c r="K29" s="169">
        <v>3</v>
      </c>
      <c r="L29" s="127">
        <v>4</v>
      </c>
      <c r="M29" s="113"/>
      <c r="N29" s="113"/>
      <c r="O29" s="113"/>
      <c r="P29" s="113"/>
      <c r="Q29" s="113"/>
      <c r="R29" s="113"/>
      <c r="S29" s="113"/>
    </row>
    <row r="30" spans="1:19" ht="149.25" customHeight="1" x14ac:dyDescent="0.3">
      <c r="A30" s="68" t="s">
        <v>618</v>
      </c>
      <c r="B30" s="23" t="s">
        <v>305</v>
      </c>
      <c r="C30" s="68" t="s">
        <v>454</v>
      </c>
      <c r="D30" s="24" t="s">
        <v>619</v>
      </c>
      <c r="E30" s="24" t="s">
        <v>620</v>
      </c>
      <c r="F30" s="7" t="s">
        <v>621</v>
      </c>
      <c r="G30" s="7" t="s">
        <v>622</v>
      </c>
      <c r="H30" s="113" t="s">
        <v>623</v>
      </c>
      <c r="I30" s="7" t="s">
        <v>624</v>
      </c>
      <c r="J30" s="116">
        <v>45964</v>
      </c>
      <c r="K30" s="169">
        <v>2</v>
      </c>
      <c r="L30" s="128">
        <v>6</v>
      </c>
      <c r="M30" s="113"/>
      <c r="N30" s="113"/>
      <c r="O30" s="113"/>
      <c r="P30" s="113"/>
      <c r="Q30" s="113"/>
      <c r="R30" s="113"/>
      <c r="S30" s="113"/>
    </row>
    <row r="31" spans="1:19" ht="149.25" customHeight="1" x14ac:dyDescent="0.3">
      <c r="A31" s="24" t="s">
        <v>625</v>
      </c>
      <c r="B31" s="23" t="s">
        <v>305</v>
      </c>
      <c r="C31" s="68" t="s">
        <v>454</v>
      </c>
      <c r="D31" s="24" t="s">
        <v>626</v>
      </c>
      <c r="E31" s="24" t="s">
        <v>627</v>
      </c>
      <c r="F31" s="7" t="s">
        <v>628</v>
      </c>
      <c r="G31" s="7" t="s">
        <v>629</v>
      </c>
      <c r="H31" s="113" t="s">
        <v>630</v>
      </c>
      <c r="I31" s="7" t="s">
        <v>631</v>
      </c>
      <c r="J31" s="116">
        <v>45964</v>
      </c>
      <c r="K31" s="169">
        <v>2</v>
      </c>
      <c r="L31" s="128">
        <v>6</v>
      </c>
      <c r="M31" s="113"/>
      <c r="N31" s="113"/>
      <c r="O31" s="113"/>
      <c r="P31" s="113"/>
      <c r="Q31" s="113"/>
      <c r="R31" s="113"/>
      <c r="S31" s="113"/>
    </row>
    <row r="32" spans="1:19" ht="153" customHeight="1" x14ac:dyDescent="0.3">
      <c r="A32" s="68" t="s">
        <v>632</v>
      </c>
      <c r="B32" s="23" t="s">
        <v>305</v>
      </c>
      <c r="C32" s="68" t="s">
        <v>440</v>
      </c>
      <c r="D32" s="24" t="s">
        <v>633</v>
      </c>
      <c r="E32" s="24" t="s">
        <v>634</v>
      </c>
      <c r="F32" s="7" t="s">
        <v>635</v>
      </c>
      <c r="G32" s="7" t="s">
        <v>636</v>
      </c>
      <c r="H32" s="113" t="s">
        <v>442</v>
      </c>
      <c r="I32" s="7" t="s">
        <v>637</v>
      </c>
      <c r="J32" s="116">
        <v>45964</v>
      </c>
      <c r="K32" s="169">
        <v>2</v>
      </c>
      <c r="L32" s="128">
        <v>6</v>
      </c>
      <c r="M32" s="113"/>
      <c r="N32" s="113"/>
      <c r="O32" s="113"/>
      <c r="P32" s="113"/>
      <c r="Q32" s="113"/>
      <c r="R32" s="113"/>
      <c r="S32" s="113"/>
    </row>
    <row r="33" spans="1:19" ht="112.5" customHeight="1" x14ac:dyDescent="0.3">
      <c r="A33" s="24" t="s">
        <v>638</v>
      </c>
      <c r="B33" s="27" t="s">
        <v>539</v>
      </c>
      <c r="C33" s="68" t="s">
        <v>524</v>
      </c>
      <c r="D33" s="24" t="s">
        <v>639</v>
      </c>
      <c r="E33" s="24" t="s">
        <v>640</v>
      </c>
      <c r="F33" s="7" t="s">
        <v>641</v>
      </c>
      <c r="G33" s="7" t="s">
        <v>642</v>
      </c>
      <c r="H33" s="113" t="s">
        <v>544</v>
      </c>
      <c r="I33" s="7" t="s">
        <v>545</v>
      </c>
      <c r="J33" s="116">
        <v>45964</v>
      </c>
      <c r="K33" s="169">
        <v>1</v>
      </c>
      <c r="L33" s="128">
        <v>6</v>
      </c>
      <c r="M33" s="113"/>
      <c r="N33" s="113"/>
      <c r="O33" s="113"/>
      <c r="P33" s="113"/>
      <c r="Q33" s="113"/>
      <c r="R33" s="113"/>
      <c r="S33" s="113"/>
    </row>
    <row r="34" spans="1:19" ht="152.25" customHeight="1" x14ac:dyDescent="0.3">
      <c r="A34" s="24" t="s">
        <v>643</v>
      </c>
      <c r="B34" s="25" t="s">
        <v>167</v>
      </c>
      <c r="C34" s="68" t="s">
        <v>603</v>
      </c>
      <c r="D34" s="24" t="s">
        <v>644</v>
      </c>
      <c r="E34" s="24" t="s">
        <v>645</v>
      </c>
      <c r="F34" s="7" t="s">
        <v>646</v>
      </c>
      <c r="G34" s="7" t="s">
        <v>647</v>
      </c>
      <c r="H34" s="113" t="s">
        <v>648</v>
      </c>
      <c r="I34" s="7" t="s">
        <v>649</v>
      </c>
      <c r="J34" s="116">
        <v>45965</v>
      </c>
      <c r="K34" s="169">
        <v>4</v>
      </c>
      <c r="L34" s="72">
        <v>3</v>
      </c>
      <c r="M34" s="113"/>
      <c r="N34" s="113"/>
      <c r="O34" s="113"/>
      <c r="P34" s="113"/>
      <c r="Q34" s="113"/>
      <c r="R34" s="113"/>
      <c r="S34" s="113"/>
    </row>
    <row r="35" spans="1:19" ht="138.75" customHeight="1" x14ac:dyDescent="0.3">
      <c r="A35" s="24" t="s">
        <v>131</v>
      </c>
      <c r="B35" s="25" t="s">
        <v>167</v>
      </c>
      <c r="C35" s="68" t="s">
        <v>440</v>
      </c>
      <c r="D35" s="24" t="s">
        <v>132</v>
      </c>
      <c r="E35" s="24" t="s">
        <v>650</v>
      </c>
      <c r="F35" s="7" t="s">
        <v>651</v>
      </c>
      <c r="G35" s="7" t="s">
        <v>652</v>
      </c>
      <c r="H35" s="113" t="s">
        <v>551</v>
      </c>
      <c r="I35" s="7" t="s">
        <v>515</v>
      </c>
      <c r="J35" s="116">
        <v>45965</v>
      </c>
      <c r="K35" s="169">
        <v>4</v>
      </c>
      <c r="L35" s="72">
        <v>3</v>
      </c>
      <c r="M35" s="113"/>
      <c r="N35" s="113"/>
      <c r="O35" s="113"/>
      <c r="P35" s="113"/>
      <c r="Q35" s="113"/>
      <c r="R35" s="113"/>
      <c r="S35" s="113"/>
    </row>
    <row r="36" spans="1:19" ht="142.5" customHeight="1" x14ac:dyDescent="0.3">
      <c r="A36" s="24" t="s">
        <v>127</v>
      </c>
      <c r="B36" s="26" t="s">
        <v>219</v>
      </c>
      <c r="C36" s="68" t="s">
        <v>454</v>
      </c>
      <c r="D36" s="24" t="s">
        <v>128</v>
      </c>
      <c r="E36" s="24" t="s">
        <v>653</v>
      </c>
      <c r="F36" s="7" t="s">
        <v>654</v>
      </c>
      <c r="G36" s="7" t="s">
        <v>655</v>
      </c>
      <c r="H36" s="113" t="s">
        <v>656</v>
      </c>
      <c r="I36" s="7" t="s">
        <v>657</v>
      </c>
      <c r="J36" s="116">
        <v>45965</v>
      </c>
      <c r="K36" s="169">
        <v>2</v>
      </c>
      <c r="L36" s="127">
        <v>4</v>
      </c>
      <c r="M36" s="113"/>
      <c r="N36" s="113"/>
      <c r="O36" s="113"/>
      <c r="P36" s="113"/>
      <c r="Q36" s="113"/>
      <c r="R36" s="113"/>
      <c r="S36" s="113"/>
    </row>
    <row r="37" spans="1:19" ht="141" customHeight="1" x14ac:dyDescent="0.3">
      <c r="A37" s="24" t="s">
        <v>658</v>
      </c>
      <c r="B37" s="26" t="s">
        <v>219</v>
      </c>
      <c r="C37" s="68" t="s">
        <v>454</v>
      </c>
      <c r="D37" s="24" t="s">
        <v>659</v>
      </c>
      <c r="E37" s="24" t="s">
        <v>660</v>
      </c>
      <c r="F37" s="7" t="s">
        <v>661</v>
      </c>
      <c r="G37" s="7" t="s">
        <v>662</v>
      </c>
      <c r="H37" s="113" t="s">
        <v>593</v>
      </c>
      <c r="I37" s="7" t="s">
        <v>663</v>
      </c>
      <c r="J37" s="116">
        <v>45965</v>
      </c>
      <c r="K37" s="169">
        <v>3</v>
      </c>
      <c r="L37" s="127">
        <v>4</v>
      </c>
      <c r="M37" s="113"/>
      <c r="N37" s="113"/>
      <c r="O37" s="113"/>
      <c r="P37" s="113"/>
      <c r="Q37" s="113"/>
      <c r="R37" s="113"/>
      <c r="S37" s="113"/>
    </row>
    <row r="38" spans="1:19" ht="145.5" customHeight="1" x14ac:dyDescent="0.3">
      <c r="A38" s="24" t="s">
        <v>664</v>
      </c>
      <c r="B38" s="26" t="s">
        <v>219</v>
      </c>
      <c r="C38" s="68" t="s">
        <v>611</v>
      </c>
      <c r="D38" s="24" t="s">
        <v>665</v>
      </c>
      <c r="E38" s="24" t="s">
        <v>666</v>
      </c>
      <c r="F38" s="7" t="s">
        <v>667</v>
      </c>
      <c r="G38" s="7" t="s">
        <v>668</v>
      </c>
      <c r="H38" s="113" t="s">
        <v>669</v>
      </c>
      <c r="I38" s="7" t="s">
        <v>670</v>
      </c>
      <c r="J38" s="116">
        <v>45965</v>
      </c>
      <c r="K38" s="169">
        <v>2</v>
      </c>
      <c r="L38" s="127">
        <v>4</v>
      </c>
      <c r="M38" s="113"/>
      <c r="N38" s="113"/>
      <c r="O38" s="113"/>
      <c r="P38" s="113"/>
      <c r="Q38" s="113"/>
      <c r="R38" s="113"/>
      <c r="S38" s="113"/>
    </row>
    <row r="39" spans="1:19" ht="163.5" customHeight="1" x14ac:dyDescent="0.3">
      <c r="A39" s="24" t="s">
        <v>671</v>
      </c>
      <c r="B39" s="23" t="s">
        <v>305</v>
      </c>
      <c r="C39" s="68" t="s">
        <v>454</v>
      </c>
      <c r="D39" s="24" t="s">
        <v>672</v>
      </c>
      <c r="E39" s="24" t="s">
        <v>673</v>
      </c>
      <c r="F39" s="7" t="s">
        <v>674</v>
      </c>
      <c r="G39" s="7" t="s">
        <v>675</v>
      </c>
      <c r="H39" s="113" t="s">
        <v>593</v>
      </c>
      <c r="I39" s="7" t="s">
        <v>676</v>
      </c>
      <c r="J39" s="116">
        <v>45965</v>
      </c>
      <c r="K39" s="169">
        <v>2</v>
      </c>
      <c r="L39" s="128">
        <v>6</v>
      </c>
      <c r="M39" s="113"/>
      <c r="N39" s="113"/>
      <c r="O39" s="113"/>
      <c r="P39" s="113"/>
      <c r="Q39" s="113"/>
      <c r="R39" s="113"/>
      <c r="S39" s="113"/>
    </row>
    <row r="40" spans="1:19" ht="165" customHeight="1" x14ac:dyDescent="0.3">
      <c r="A40" s="24" t="s">
        <v>677</v>
      </c>
      <c r="B40" s="23" t="s">
        <v>305</v>
      </c>
      <c r="C40" s="68" t="s">
        <v>454</v>
      </c>
      <c r="D40" s="24" t="s">
        <v>678</v>
      </c>
      <c r="E40" s="24" t="s">
        <v>679</v>
      </c>
      <c r="F40" s="7" t="s">
        <v>680</v>
      </c>
      <c r="G40" s="7" t="s">
        <v>681</v>
      </c>
      <c r="H40" s="113" t="s">
        <v>682</v>
      </c>
      <c r="I40" s="7" t="s">
        <v>683</v>
      </c>
      <c r="J40" s="116">
        <v>45965</v>
      </c>
      <c r="K40" s="169">
        <v>1</v>
      </c>
      <c r="L40" s="128">
        <v>6</v>
      </c>
      <c r="M40" s="113"/>
      <c r="N40" s="113"/>
      <c r="O40" s="113"/>
      <c r="P40" s="113"/>
      <c r="Q40" s="113"/>
      <c r="R40" s="113"/>
      <c r="S40" s="113"/>
    </row>
    <row r="41" spans="1:19" ht="154.5" customHeight="1" x14ac:dyDescent="0.3">
      <c r="A41" s="24" t="s">
        <v>684</v>
      </c>
      <c r="B41" s="23" t="s">
        <v>305</v>
      </c>
      <c r="C41" s="68" t="s">
        <v>465</v>
      </c>
      <c r="D41" s="24" t="s">
        <v>685</v>
      </c>
      <c r="E41" s="24" t="s">
        <v>686</v>
      </c>
      <c r="F41" s="7" t="s">
        <v>687</v>
      </c>
      <c r="G41" s="7" t="s">
        <v>688</v>
      </c>
      <c r="H41" s="113" t="s">
        <v>470</v>
      </c>
      <c r="I41" s="7" t="s">
        <v>689</v>
      </c>
      <c r="J41" s="116">
        <v>45965</v>
      </c>
      <c r="K41" s="169">
        <v>2</v>
      </c>
      <c r="L41" s="128">
        <v>6</v>
      </c>
      <c r="M41" s="113"/>
      <c r="N41" s="113"/>
      <c r="O41" s="113"/>
      <c r="P41" s="113"/>
      <c r="Q41" s="113"/>
      <c r="R41" s="113"/>
      <c r="S41" s="113"/>
    </row>
    <row r="42" spans="1:19" ht="136.5" customHeight="1" x14ac:dyDescent="0.3">
      <c r="A42" s="24" t="s">
        <v>690</v>
      </c>
      <c r="B42" s="26" t="s">
        <v>219</v>
      </c>
      <c r="C42" s="68" t="s">
        <v>454</v>
      </c>
      <c r="D42" s="24" t="s">
        <v>691</v>
      </c>
      <c r="E42" s="24" t="s">
        <v>692</v>
      </c>
      <c r="F42" s="7" t="s">
        <v>693</v>
      </c>
      <c r="G42" s="7" t="s">
        <v>694</v>
      </c>
      <c r="H42" s="113" t="s">
        <v>695</v>
      </c>
      <c r="I42" s="7" t="s">
        <v>696</v>
      </c>
      <c r="J42" s="116">
        <v>45965</v>
      </c>
      <c r="K42" s="169">
        <v>2</v>
      </c>
      <c r="L42" s="127">
        <v>4</v>
      </c>
      <c r="M42" s="113"/>
      <c r="N42" s="113"/>
      <c r="O42" s="113"/>
      <c r="P42" s="113"/>
      <c r="Q42" s="113"/>
      <c r="R42" s="113"/>
      <c r="S42" s="113"/>
    </row>
    <row r="43" spans="1:19" ht="132" customHeight="1" x14ac:dyDescent="0.3">
      <c r="A43" s="24" t="s">
        <v>697</v>
      </c>
      <c r="B43" s="23" t="s">
        <v>305</v>
      </c>
      <c r="C43" s="68" t="s">
        <v>454</v>
      </c>
      <c r="D43" s="24" t="s">
        <v>698</v>
      </c>
      <c r="E43" s="24" t="s">
        <v>699</v>
      </c>
      <c r="F43" s="7" t="s">
        <v>700</v>
      </c>
      <c r="G43" s="7" t="s">
        <v>701</v>
      </c>
      <c r="H43" s="113" t="s">
        <v>702</v>
      </c>
      <c r="I43" s="7" t="s">
        <v>703</v>
      </c>
      <c r="J43" s="116">
        <v>45965</v>
      </c>
      <c r="K43" s="169">
        <v>2</v>
      </c>
      <c r="L43" s="128">
        <v>6</v>
      </c>
      <c r="M43" s="113"/>
      <c r="N43" s="113"/>
      <c r="O43" s="113"/>
      <c r="P43" s="113"/>
      <c r="Q43" s="113"/>
      <c r="R43" s="113"/>
      <c r="S43" s="113"/>
    </row>
    <row r="44" spans="1:19" ht="117" customHeight="1" x14ac:dyDescent="0.3">
      <c r="A44" s="24" t="s">
        <v>704</v>
      </c>
      <c r="B44" s="26" t="s">
        <v>219</v>
      </c>
      <c r="C44" s="68" t="s">
        <v>473</v>
      </c>
      <c r="D44" s="24" t="s">
        <v>705</v>
      </c>
      <c r="E44" s="24" t="s">
        <v>706</v>
      </c>
      <c r="F44" s="7" t="s">
        <v>707</v>
      </c>
      <c r="G44" s="7" t="s">
        <v>708</v>
      </c>
      <c r="H44" s="113" t="s">
        <v>709</v>
      </c>
      <c r="I44" s="7" t="s">
        <v>710</v>
      </c>
      <c r="J44" s="116">
        <v>45965</v>
      </c>
      <c r="K44" s="169">
        <v>2</v>
      </c>
      <c r="L44" s="127">
        <v>4</v>
      </c>
      <c r="M44" s="113"/>
      <c r="N44" s="113"/>
      <c r="O44" s="113"/>
      <c r="P44" s="113"/>
      <c r="Q44" s="113"/>
      <c r="R44" s="113"/>
      <c r="S44" s="113"/>
    </row>
    <row r="45" spans="1:19" ht="144.75" customHeight="1" x14ac:dyDescent="0.3">
      <c r="A45" s="24" t="s">
        <v>711</v>
      </c>
      <c r="B45" s="26" t="s">
        <v>219</v>
      </c>
      <c r="C45" s="68" t="s">
        <v>465</v>
      </c>
      <c r="D45" s="24" t="s">
        <v>712</v>
      </c>
      <c r="E45" s="24" t="s">
        <v>713</v>
      </c>
      <c r="F45" s="7" t="s">
        <v>714</v>
      </c>
      <c r="G45" s="7" t="s">
        <v>715</v>
      </c>
      <c r="H45" s="113" t="s">
        <v>716</v>
      </c>
      <c r="I45" s="7" t="s">
        <v>717</v>
      </c>
      <c r="J45" s="116">
        <v>45965</v>
      </c>
      <c r="K45" s="169">
        <v>2</v>
      </c>
      <c r="L45" s="127">
        <v>4</v>
      </c>
      <c r="M45" s="113"/>
      <c r="N45" s="113"/>
      <c r="O45" s="113"/>
      <c r="P45" s="113"/>
      <c r="Q45" s="113"/>
      <c r="R45" s="113"/>
      <c r="S45" s="113"/>
    </row>
    <row r="46" spans="1:19" ht="161.25" customHeight="1" x14ac:dyDescent="0.3">
      <c r="A46" s="24" t="s">
        <v>718</v>
      </c>
      <c r="B46" s="23" t="s">
        <v>305</v>
      </c>
      <c r="C46" s="68" t="s">
        <v>454</v>
      </c>
      <c r="D46" s="24" t="s">
        <v>719</v>
      </c>
      <c r="E46" s="24" t="s">
        <v>720</v>
      </c>
      <c r="F46" s="7" t="s">
        <v>721</v>
      </c>
      <c r="G46" s="7" t="s">
        <v>722</v>
      </c>
      <c r="H46" s="113" t="s">
        <v>593</v>
      </c>
      <c r="I46" s="7" t="s">
        <v>723</v>
      </c>
      <c r="J46" s="116">
        <v>45965</v>
      </c>
      <c r="K46" s="169">
        <v>2</v>
      </c>
      <c r="L46" s="128">
        <v>6</v>
      </c>
      <c r="M46" s="113"/>
      <c r="N46" s="113"/>
      <c r="O46" s="113"/>
      <c r="P46" s="113"/>
      <c r="Q46" s="113"/>
      <c r="R46" s="113"/>
      <c r="S46" s="113"/>
    </row>
    <row r="47" spans="1:19" ht="154.5" customHeight="1" x14ac:dyDescent="0.3">
      <c r="A47" s="24" t="s">
        <v>724</v>
      </c>
      <c r="B47" s="26" t="s">
        <v>219</v>
      </c>
      <c r="C47" s="68" t="s">
        <v>465</v>
      </c>
      <c r="D47" s="24" t="s">
        <v>725</v>
      </c>
      <c r="E47" s="24" t="s">
        <v>726</v>
      </c>
      <c r="F47" s="7" t="s">
        <v>727</v>
      </c>
      <c r="G47" s="7" t="s">
        <v>728</v>
      </c>
      <c r="H47" s="113" t="s">
        <v>470</v>
      </c>
      <c r="I47" s="7" t="s">
        <v>729</v>
      </c>
      <c r="J47" s="116">
        <v>45965</v>
      </c>
      <c r="K47" s="169">
        <v>2</v>
      </c>
      <c r="L47" s="127">
        <v>4</v>
      </c>
      <c r="M47" s="113"/>
      <c r="N47" s="113"/>
      <c r="O47" s="113"/>
      <c r="P47" s="113"/>
      <c r="Q47" s="113"/>
      <c r="R47" s="113"/>
      <c r="S47" s="113"/>
    </row>
    <row r="48" spans="1:19" ht="165.75" customHeight="1" x14ac:dyDescent="0.3">
      <c r="A48" s="24" t="s">
        <v>730</v>
      </c>
      <c r="B48" s="23" t="s">
        <v>305</v>
      </c>
      <c r="C48" s="68" t="s">
        <v>440</v>
      </c>
      <c r="D48" s="24" t="s">
        <v>731</v>
      </c>
      <c r="E48" s="24" t="s">
        <v>732</v>
      </c>
      <c r="F48" s="7" t="s">
        <v>733</v>
      </c>
      <c r="G48" s="7" t="s">
        <v>734</v>
      </c>
      <c r="H48" s="113" t="s">
        <v>448</v>
      </c>
      <c r="I48" s="7" t="s">
        <v>449</v>
      </c>
      <c r="J48" s="116">
        <v>45965</v>
      </c>
      <c r="K48" s="169">
        <v>3</v>
      </c>
      <c r="L48" s="128">
        <v>6</v>
      </c>
      <c r="M48" s="113"/>
      <c r="N48" s="113"/>
      <c r="O48" s="113"/>
      <c r="P48" s="113"/>
      <c r="Q48" s="113"/>
      <c r="R48" s="113"/>
      <c r="S48" s="113"/>
    </row>
    <row r="49" spans="1:19" ht="108" customHeight="1" x14ac:dyDescent="0.3">
      <c r="A49" s="24" t="s">
        <v>735</v>
      </c>
      <c r="B49" s="26" t="s">
        <v>219</v>
      </c>
      <c r="C49" s="68" t="s">
        <v>736</v>
      </c>
      <c r="D49" s="24" t="s">
        <v>737</v>
      </c>
      <c r="E49" s="24" t="s">
        <v>738</v>
      </c>
      <c r="F49" s="7" t="s">
        <v>739</v>
      </c>
      <c r="G49" s="7" t="s">
        <v>740</v>
      </c>
      <c r="H49" s="113" t="s">
        <v>741</v>
      </c>
      <c r="I49" s="7" t="s">
        <v>742</v>
      </c>
      <c r="J49" s="116">
        <v>45966</v>
      </c>
      <c r="K49" s="169">
        <v>2</v>
      </c>
      <c r="L49" s="127">
        <v>4</v>
      </c>
      <c r="M49" s="113"/>
      <c r="N49" s="113"/>
      <c r="O49" s="113"/>
      <c r="P49" s="113"/>
      <c r="Q49" s="113"/>
      <c r="R49" s="113"/>
      <c r="S49" s="113"/>
    </row>
    <row r="50" spans="1:19" ht="114" customHeight="1" x14ac:dyDescent="0.3">
      <c r="A50" s="24" t="s">
        <v>743</v>
      </c>
      <c r="B50" s="26" t="s">
        <v>219</v>
      </c>
      <c r="C50" s="68" t="s">
        <v>454</v>
      </c>
      <c r="D50" s="24" t="s">
        <v>744</v>
      </c>
      <c r="E50" s="24" t="s">
        <v>745</v>
      </c>
      <c r="F50" s="7" t="s">
        <v>746</v>
      </c>
      <c r="G50" s="7" t="s">
        <v>747</v>
      </c>
      <c r="H50" s="113" t="s">
        <v>748</v>
      </c>
      <c r="I50" s="7" t="s">
        <v>749</v>
      </c>
      <c r="J50" s="116">
        <v>45966</v>
      </c>
      <c r="K50" s="169">
        <v>2</v>
      </c>
      <c r="L50" s="127">
        <v>4</v>
      </c>
      <c r="M50" s="113"/>
      <c r="N50" s="113"/>
      <c r="O50" s="113"/>
      <c r="P50" s="113"/>
      <c r="Q50" s="113"/>
      <c r="R50" s="113"/>
      <c r="S50" s="113"/>
    </row>
    <row r="51" spans="1:19" ht="143.25" customHeight="1" x14ac:dyDescent="0.3">
      <c r="A51" s="24" t="s">
        <v>750</v>
      </c>
      <c r="B51" s="25" t="s">
        <v>167</v>
      </c>
      <c r="C51" s="68" t="s">
        <v>454</v>
      </c>
      <c r="D51" s="24" t="s">
        <v>751</v>
      </c>
      <c r="E51" s="24" t="s">
        <v>752</v>
      </c>
      <c r="F51" s="7" t="s">
        <v>753</v>
      </c>
      <c r="G51" s="7" t="s">
        <v>754</v>
      </c>
      <c r="H51" s="113" t="s">
        <v>593</v>
      </c>
      <c r="I51" s="7" t="s">
        <v>755</v>
      </c>
      <c r="J51" s="116">
        <v>45966</v>
      </c>
      <c r="K51" s="169">
        <v>4</v>
      </c>
      <c r="L51" s="72">
        <v>3</v>
      </c>
      <c r="M51" s="113"/>
      <c r="N51" s="113"/>
      <c r="O51" s="113"/>
      <c r="P51" s="113"/>
      <c r="Q51" s="113" t="s">
        <v>756</v>
      </c>
      <c r="R51" s="113"/>
      <c r="S51" s="113"/>
    </row>
    <row r="52" spans="1:19" ht="114" customHeight="1" x14ac:dyDescent="0.3">
      <c r="A52" s="24" t="s">
        <v>757</v>
      </c>
      <c r="B52" s="26" t="s">
        <v>219</v>
      </c>
      <c r="C52" s="68" t="s">
        <v>736</v>
      </c>
      <c r="D52" s="24" t="s">
        <v>758</v>
      </c>
      <c r="E52" s="24" t="s">
        <v>759</v>
      </c>
      <c r="F52" s="7" t="s">
        <v>760</v>
      </c>
      <c r="G52" s="7" t="s">
        <v>761</v>
      </c>
      <c r="H52" s="113" t="s">
        <v>762</v>
      </c>
      <c r="I52" s="7" t="s">
        <v>763</v>
      </c>
      <c r="J52" s="116">
        <v>45966</v>
      </c>
      <c r="K52" s="169">
        <v>2</v>
      </c>
      <c r="L52" s="127">
        <v>4</v>
      </c>
      <c r="M52" s="113"/>
      <c r="N52" s="113"/>
      <c r="O52" s="113"/>
      <c r="P52" s="113"/>
      <c r="Q52" s="113"/>
      <c r="R52" s="113"/>
      <c r="S52" s="113"/>
    </row>
    <row r="53" spans="1:19" ht="110.25" customHeight="1" x14ac:dyDescent="0.3">
      <c r="A53" s="24" t="s">
        <v>764</v>
      </c>
      <c r="B53" s="25" t="s">
        <v>167</v>
      </c>
      <c r="C53" s="68" t="s">
        <v>524</v>
      </c>
      <c r="D53" s="24" t="s">
        <v>765</v>
      </c>
      <c r="E53" s="24" t="s">
        <v>766</v>
      </c>
      <c r="F53" s="7" t="s">
        <v>767</v>
      </c>
      <c r="G53" s="7" t="s">
        <v>768</v>
      </c>
      <c r="H53" s="113" t="s">
        <v>769</v>
      </c>
      <c r="I53" s="7" t="s">
        <v>770</v>
      </c>
      <c r="J53" s="116">
        <v>45966</v>
      </c>
      <c r="K53" s="169">
        <v>3</v>
      </c>
      <c r="L53" s="72">
        <v>3</v>
      </c>
      <c r="M53" s="113"/>
      <c r="N53" s="113"/>
      <c r="O53" s="113"/>
      <c r="P53" s="113"/>
      <c r="Q53" s="113"/>
      <c r="R53" s="113"/>
      <c r="S53" s="113"/>
    </row>
    <row r="54" spans="1:19" ht="140.25" customHeight="1" x14ac:dyDescent="0.3">
      <c r="A54" s="24" t="s">
        <v>771</v>
      </c>
      <c r="B54" s="26" t="s">
        <v>219</v>
      </c>
      <c r="C54" s="68" t="s">
        <v>454</v>
      </c>
      <c r="D54" s="24" t="s">
        <v>772</v>
      </c>
      <c r="E54" s="24" t="s">
        <v>773</v>
      </c>
      <c r="F54" s="7" t="s">
        <v>774</v>
      </c>
      <c r="G54" s="7" t="s">
        <v>775</v>
      </c>
      <c r="H54" s="113" t="s">
        <v>593</v>
      </c>
      <c r="I54" s="7" t="s">
        <v>776</v>
      </c>
      <c r="J54" s="116">
        <v>45966</v>
      </c>
      <c r="K54" s="169">
        <v>2</v>
      </c>
      <c r="L54" s="127">
        <v>4</v>
      </c>
      <c r="M54" s="113"/>
      <c r="N54" s="113"/>
      <c r="O54" s="113"/>
      <c r="P54" s="113"/>
      <c r="Q54" s="113"/>
      <c r="R54" s="113"/>
      <c r="S54" s="113"/>
    </row>
    <row r="55" spans="1:19" ht="111" customHeight="1" x14ac:dyDescent="0.3">
      <c r="A55" s="24" t="s">
        <v>777</v>
      </c>
      <c r="B55" s="26" t="s">
        <v>219</v>
      </c>
      <c r="C55" s="68" t="s">
        <v>524</v>
      </c>
      <c r="D55" s="24" t="s">
        <v>778</v>
      </c>
      <c r="E55" s="24" t="s">
        <v>779</v>
      </c>
      <c r="F55" s="7" t="s">
        <v>780</v>
      </c>
      <c r="G55" s="7" t="s">
        <v>781</v>
      </c>
      <c r="H55" s="113" t="s">
        <v>769</v>
      </c>
      <c r="I55" s="7" t="s">
        <v>782</v>
      </c>
      <c r="J55" s="116">
        <v>45966</v>
      </c>
      <c r="K55" s="169">
        <v>2</v>
      </c>
      <c r="L55" s="127">
        <v>4</v>
      </c>
      <c r="M55" s="113"/>
      <c r="N55" s="113"/>
      <c r="O55" s="113"/>
      <c r="P55" s="113"/>
      <c r="Q55" s="113"/>
      <c r="R55" s="113"/>
      <c r="S55" s="113"/>
    </row>
    <row r="56" spans="1:19" ht="147.75" customHeight="1" x14ac:dyDescent="0.3">
      <c r="A56" s="24" t="s">
        <v>783</v>
      </c>
      <c r="B56" s="23" t="s">
        <v>305</v>
      </c>
      <c r="C56" s="68" t="s">
        <v>440</v>
      </c>
      <c r="D56" s="24" t="s">
        <v>784</v>
      </c>
      <c r="E56" s="24" t="s">
        <v>785</v>
      </c>
      <c r="F56" s="7" t="s">
        <v>786</v>
      </c>
      <c r="G56" s="7" t="s">
        <v>787</v>
      </c>
      <c r="H56" s="113" t="s">
        <v>551</v>
      </c>
      <c r="I56" s="7" t="s">
        <v>788</v>
      </c>
      <c r="J56" s="116">
        <v>45966</v>
      </c>
      <c r="K56" s="169">
        <v>2</v>
      </c>
      <c r="L56" s="128">
        <v>6</v>
      </c>
      <c r="M56" s="113"/>
      <c r="N56" s="113"/>
      <c r="O56" s="113"/>
      <c r="P56" s="113"/>
      <c r="Q56" s="113"/>
      <c r="R56" s="113"/>
      <c r="S56" s="113"/>
    </row>
    <row r="57" spans="1:19" ht="142.5" customHeight="1" x14ac:dyDescent="0.3">
      <c r="A57" s="24" t="s">
        <v>789</v>
      </c>
      <c r="B57" s="26" t="s">
        <v>219</v>
      </c>
      <c r="C57" s="68" t="s">
        <v>473</v>
      </c>
      <c r="D57" s="24" t="s">
        <v>790</v>
      </c>
      <c r="E57" s="24" t="s">
        <v>791</v>
      </c>
      <c r="F57" s="7" t="s">
        <v>792</v>
      </c>
      <c r="G57" s="7" t="s">
        <v>793</v>
      </c>
      <c r="H57" s="113" t="s">
        <v>794</v>
      </c>
      <c r="I57" s="7" t="s">
        <v>795</v>
      </c>
      <c r="J57" s="116">
        <v>45966</v>
      </c>
      <c r="K57" s="169">
        <v>2</v>
      </c>
      <c r="L57" s="127">
        <v>4</v>
      </c>
      <c r="M57" s="113"/>
      <c r="N57" s="113"/>
      <c r="O57" s="113"/>
      <c r="P57" s="113"/>
      <c r="Q57" s="113"/>
      <c r="R57" s="113"/>
      <c r="S57" s="113"/>
    </row>
    <row r="58" spans="1:19" ht="129.75" customHeight="1" x14ac:dyDescent="0.3">
      <c r="A58" s="24" t="s">
        <v>796</v>
      </c>
      <c r="B58" s="23" t="s">
        <v>305</v>
      </c>
      <c r="C58" s="68" t="s">
        <v>611</v>
      </c>
      <c r="D58" s="24" t="s">
        <v>797</v>
      </c>
      <c r="E58" s="24" t="s">
        <v>798</v>
      </c>
      <c r="F58" s="7" t="s">
        <v>799</v>
      </c>
      <c r="G58" s="7" t="s">
        <v>800</v>
      </c>
      <c r="H58" s="113" t="s">
        <v>801</v>
      </c>
      <c r="I58" s="7" t="s">
        <v>802</v>
      </c>
      <c r="J58" s="116">
        <v>45966</v>
      </c>
      <c r="K58" s="169">
        <v>2</v>
      </c>
      <c r="L58" s="128">
        <v>6</v>
      </c>
      <c r="M58" s="113"/>
      <c r="N58" s="113"/>
      <c r="O58" s="113"/>
      <c r="P58" s="113"/>
      <c r="Q58" s="113"/>
      <c r="R58" s="113"/>
      <c r="S58" s="113"/>
    </row>
    <row r="59" spans="1:19" ht="148.5" customHeight="1" x14ac:dyDescent="0.3">
      <c r="A59" s="24" t="s">
        <v>803</v>
      </c>
      <c r="B59" s="26" t="s">
        <v>219</v>
      </c>
      <c r="C59" s="68" t="s">
        <v>454</v>
      </c>
      <c r="D59" s="24" t="s">
        <v>804</v>
      </c>
      <c r="E59" s="24" t="s">
        <v>805</v>
      </c>
      <c r="F59" s="7" t="s">
        <v>806</v>
      </c>
      <c r="G59" s="7" t="s">
        <v>806</v>
      </c>
      <c r="H59" s="113" t="s">
        <v>593</v>
      </c>
      <c r="I59" s="7" t="s">
        <v>807</v>
      </c>
      <c r="J59" s="116">
        <v>45966</v>
      </c>
      <c r="K59" s="169">
        <v>3</v>
      </c>
      <c r="L59" s="127">
        <v>4</v>
      </c>
      <c r="M59" s="113"/>
      <c r="N59" s="113"/>
      <c r="O59" s="113"/>
      <c r="P59" s="113"/>
      <c r="Q59" s="113"/>
      <c r="R59" s="113"/>
      <c r="S59" s="113"/>
    </row>
    <row r="60" spans="1:19" ht="110.25" customHeight="1" x14ac:dyDescent="0.3">
      <c r="A60" s="24" t="s">
        <v>808</v>
      </c>
      <c r="B60" s="23" t="s">
        <v>305</v>
      </c>
      <c r="C60" s="68" t="s">
        <v>809</v>
      </c>
      <c r="D60" s="24" t="s">
        <v>810</v>
      </c>
      <c r="E60" s="24" t="s">
        <v>811</v>
      </c>
      <c r="F60" s="7" t="s">
        <v>812</v>
      </c>
      <c r="G60" s="7" t="s">
        <v>813</v>
      </c>
      <c r="H60" s="113" t="s">
        <v>814</v>
      </c>
      <c r="I60" s="7" t="s">
        <v>815</v>
      </c>
      <c r="J60" s="116">
        <v>45966</v>
      </c>
      <c r="K60" s="169">
        <v>2</v>
      </c>
      <c r="L60" s="128">
        <v>6</v>
      </c>
      <c r="M60" s="113"/>
      <c r="N60" s="113"/>
      <c r="O60" s="113"/>
      <c r="P60" s="113"/>
      <c r="Q60" s="113"/>
      <c r="R60" s="113"/>
      <c r="S60" s="113"/>
    </row>
    <row r="61" spans="1:19" ht="110.25" customHeight="1" x14ac:dyDescent="0.3">
      <c r="A61" s="24" t="s">
        <v>816</v>
      </c>
      <c r="B61" s="27" t="s">
        <v>539</v>
      </c>
      <c r="C61" s="68" t="s">
        <v>454</v>
      </c>
      <c r="D61" s="24" t="s">
        <v>817</v>
      </c>
      <c r="E61" s="24" t="s">
        <v>818</v>
      </c>
      <c r="F61" s="7" t="s">
        <v>819</v>
      </c>
      <c r="G61" s="7" t="s">
        <v>820</v>
      </c>
      <c r="H61" s="113" t="s">
        <v>748</v>
      </c>
      <c r="I61" s="7" t="s">
        <v>821</v>
      </c>
      <c r="J61" s="116">
        <v>45966</v>
      </c>
      <c r="K61" s="169">
        <v>1</v>
      </c>
      <c r="L61" s="128">
        <v>6</v>
      </c>
      <c r="M61" s="113"/>
      <c r="N61" s="113"/>
      <c r="O61" s="113"/>
      <c r="P61" s="113"/>
      <c r="Q61" s="113"/>
      <c r="R61" s="113"/>
      <c r="S61" s="113"/>
    </row>
    <row r="62" spans="1:19" ht="145.5" customHeight="1" x14ac:dyDescent="0.3">
      <c r="A62" s="24" t="s">
        <v>822</v>
      </c>
      <c r="B62" s="23" t="s">
        <v>305</v>
      </c>
      <c r="C62" s="68" t="s">
        <v>454</v>
      </c>
      <c r="D62" s="24" t="s">
        <v>823</v>
      </c>
      <c r="E62" s="24" t="s">
        <v>824</v>
      </c>
      <c r="F62" s="7" t="s">
        <v>825</v>
      </c>
      <c r="G62" s="7" t="s">
        <v>826</v>
      </c>
      <c r="H62" s="113" t="s">
        <v>593</v>
      </c>
      <c r="I62" s="7" t="s">
        <v>827</v>
      </c>
      <c r="J62" s="116">
        <v>45966</v>
      </c>
      <c r="K62" s="169">
        <v>1</v>
      </c>
      <c r="L62" s="128">
        <v>6</v>
      </c>
      <c r="M62" s="113"/>
      <c r="N62" s="113"/>
      <c r="O62" s="113"/>
      <c r="P62" s="113"/>
      <c r="Q62" s="113"/>
      <c r="R62" s="113"/>
      <c r="S62" s="113"/>
    </row>
    <row r="63" spans="1:19" ht="115.5" customHeight="1" x14ac:dyDescent="0.3">
      <c r="A63" s="24" t="s">
        <v>828</v>
      </c>
      <c r="B63" s="26" t="s">
        <v>219</v>
      </c>
      <c r="C63" s="68" t="s">
        <v>829</v>
      </c>
      <c r="D63" s="24" t="s">
        <v>830</v>
      </c>
      <c r="E63" s="24" t="s">
        <v>831</v>
      </c>
      <c r="F63" s="7" t="s">
        <v>832</v>
      </c>
      <c r="G63" s="7" t="s">
        <v>833</v>
      </c>
      <c r="H63" s="113" t="s">
        <v>834</v>
      </c>
      <c r="I63" s="7" t="s">
        <v>835</v>
      </c>
      <c r="J63" s="116">
        <v>45966</v>
      </c>
      <c r="K63" s="169">
        <v>2</v>
      </c>
      <c r="L63" s="127">
        <v>4</v>
      </c>
      <c r="M63" s="113"/>
      <c r="N63" s="113"/>
      <c r="O63" s="113"/>
      <c r="P63" s="113"/>
      <c r="Q63" s="113"/>
      <c r="R63" s="113"/>
      <c r="S63" s="113"/>
    </row>
    <row r="64" spans="1:19" ht="120" customHeight="1" x14ac:dyDescent="0.3">
      <c r="A64" s="24" t="s">
        <v>836</v>
      </c>
      <c r="B64" s="25" t="s">
        <v>167</v>
      </c>
      <c r="C64" s="24" t="s">
        <v>524</v>
      </c>
      <c r="D64" s="24" t="s">
        <v>837</v>
      </c>
      <c r="E64" s="24" t="s">
        <v>838</v>
      </c>
      <c r="F64" s="7" t="s">
        <v>839</v>
      </c>
      <c r="G64" s="7" t="s">
        <v>840</v>
      </c>
      <c r="H64" s="7" t="s">
        <v>841</v>
      </c>
      <c r="I64" s="7" t="s">
        <v>842</v>
      </c>
      <c r="J64" s="60">
        <v>45967</v>
      </c>
      <c r="K64" s="170">
        <v>3</v>
      </c>
      <c r="L64" s="72">
        <v>3</v>
      </c>
      <c r="M64" s="7" t="s">
        <v>186</v>
      </c>
      <c r="N64" s="7" t="s">
        <v>186</v>
      </c>
      <c r="O64" s="7" t="s">
        <v>186</v>
      </c>
      <c r="P64" s="7" t="s">
        <v>186</v>
      </c>
      <c r="Q64" s="7" t="s">
        <v>186</v>
      </c>
      <c r="R64" s="7" t="s">
        <v>186</v>
      </c>
      <c r="S64" s="7" t="s">
        <v>186</v>
      </c>
    </row>
    <row r="65" spans="1:19" ht="135" customHeight="1" x14ac:dyDescent="0.3">
      <c r="A65" s="24" t="s">
        <v>843</v>
      </c>
      <c r="B65" s="26" t="s">
        <v>219</v>
      </c>
      <c r="C65" s="24" t="s">
        <v>611</v>
      </c>
      <c r="D65" s="24" t="s">
        <v>665</v>
      </c>
      <c r="E65" s="24" t="s">
        <v>844</v>
      </c>
      <c r="F65" s="7" t="s">
        <v>845</v>
      </c>
      <c r="G65" s="7" t="s">
        <v>845</v>
      </c>
      <c r="H65" s="7" t="s">
        <v>801</v>
      </c>
      <c r="I65" s="7" t="s">
        <v>670</v>
      </c>
      <c r="J65" s="60">
        <v>45967</v>
      </c>
      <c r="K65" s="170">
        <v>2</v>
      </c>
      <c r="L65" s="127">
        <v>4</v>
      </c>
      <c r="M65" s="7" t="s">
        <v>186</v>
      </c>
      <c r="N65" s="7" t="s">
        <v>186</v>
      </c>
      <c r="O65" s="7" t="s">
        <v>186</v>
      </c>
      <c r="P65" s="7" t="s">
        <v>186</v>
      </c>
      <c r="Q65" s="7" t="s">
        <v>186</v>
      </c>
      <c r="R65" s="7" t="s">
        <v>186</v>
      </c>
      <c r="S65" s="7" t="s">
        <v>186</v>
      </c>
    </row>
    <row r="66" spans="1:19" ht="144" customHeight="1" x14ac:dyDescent="0.3">
      <c r="A66" s="24" t="s">
        <v>846</v>
      </c>
      <c r="B66" s="26" t="s">
        <v>219</v>
      </c>
      <c r="C66" s="24" t="s">
        <v>454</v>
      </c>
      <c r="D66" s="24" t="s">
        <v>847</v>
      </c>
      <c r="E66" s="24" t="s">
        <v>848</v>
      </c>
      <c r="F66" s="7" t="s">
        <v>849</v>
      </c>
      <c r="G66" s="7" t="s">
        <v>850</v>
      </c>
      <c r="H66" s="7" t="s">
        <v>593</v>
      </c>
      <c r="I66" s="7" t="s">
        <v>851</v>
      </c>
      <c r="J66" s="60">
        <v>45967</v>
      </c>
      <c r="K66" s="170">
        <v>2</v>
      </c>
      <c r="L66" s="127">
        <v>4</v>
      </c>
      <c r="M66" s="7" t="s">
        <v>186</v>
      </c>
      <c r="N66" s="7" t="s">
        <v>186</v>
      </c>
      <c r="O66" s="7" t="s">
        <v>186</v>
      </c>
      <c r="P66" s="7" t="s">
        <v>186</v>
      </c>
      <c r="Q66" s="7" t="s">
        <v>186</v>
      </c>
      <c r="R66" s="7" t="s">
        <v>186</v>
      </c>
      <c r="S66" s="7" t="s">
        <v>186</v>
      </c>
    </row>
    <row r="67" spans="1:19" ht="125.25" customHeight="1" x14ac:dyDescent="0.3">
      <c r="A67" s="24" t="s">
        <v>852</v>
      </c>
      <c r="B67" s="23" t="s">
        <v>305</v>
      </c>
      <c r="C67" s="24" t="s">
        <v>603</v>
      </c>
      <c r="D67" s="24" t="s">
        <v>853</v>
      </c>
      <c r="E67" s="24" t="s">
        <v>854</v>
      </c>
      <c r="F67" s="7" t="s">
        <v>855</v>
      </c>
      <c r="G67" s="7" t="s">
        <v>856</v>
      </c>
      <c r="H67" s="7" t="s">
        <v>608</v>
      </c>
      <c r="I67" s="7" t="s">
        <v>857</v>
      </c>
      <c r="J67" s="60">
        <v>45967</v>
      </c>
      <c r="K67" s="170">
        <v>2</v>
      </c>
      <c r="L67" s="128">
        <v>6</v>
      </c>
      <c r="M67" s="7" t="s">
        <v>186</v>
      </c>
      <c r="N67" s="7" t="s">
        <v>186</v>
      </c>
      <c r="O67" s="7" t="s">
        <v>186</v>
      </c>
      <c r="P67" s="7" t="s">
        <v>186</v>
      </c>
      <c r="Q67" s="7" t="s">
        <v>186</v>
      </c>
      <c r="R67" s="7" t="s">
        <v>186</v>
      </c>
      <c r="S67" s="7" t="s">
        <v>186</v>
      </c>
    </row>
    <row r="68" spans="1:19" ht="145.5" customHeight="1" x14ac:dyDescent="0.3">
      <c r="A68" s="24" t="s">
        <v>858</v>
      </c>
      <c r="B68" s="26" t="s">
        <v>219</v>
      </c>
      <c r="C68" s="24" t="s">
        <v>465</v>
      </c>
      <c r="D68" s="24" t="s">
        <v>859</v>
      </c>
      <c r="E68" s="24" t="s">
        <v>860</v>
      </c>
      <c r="F68" s="7" t="s">
        <v>861</v>
      </c>
      <c r="G68" s="7" t="s">
        <v>862</v>
      </c>
      <c r="H68" s="7" t="s">
        <v>863</v>
      </c>
      <c r="I68" s="7" t="s">
        <v>864</v>
      </c>
      <c r="J68" s="60">
        <v>45967</v>
      </c>
      <c r="K68" s="170">
        <v>2</v>
      </c>
      <c r="L68" s="127">
        <v>4</v>
      </c>
      <c r="M68" s="7" t="s">
        <v>186</v>
      </c>
      <c r="N68" s="7" t="s">
        <v>186</v>
      </c>
      <c r="O68" s="7" t="s">
        <v>186</v>
      </c>
      <c r="P68" s="7" t="s">
        <v>186</v>
      </c>
      <c r="Q68" s="7" t="s">
        <v>186</v>
      </c>
      <c r="R68" s="7" t="s">
        <v>186</v>
      </c>
      <c r="S68" s="7" t="s">
        <v>186</v>
      </c>
    </row>
    <row r="69" spans="1:19" ht="142.5" customHeight="1" x14ac:dyDescent="0.3">
      <c r="A69" s="24" t="s">
        <v>865</v>
      </c>
      <c r="B69" s="23" t="s">
        <v>305</v>
      </c>
      <c r="C69" s="24" t="s">
        <v>454</v>
      </c>
      <c r="D69" s="24" t="s">
        <v>744</v>
      </c>
      <c r="E69" s="24" t="s">
        <v>866</v>
      </c>
      <c r="F69" s="7" t="s">
        <v>867</v>
      </c>
      <c r="G69" s="7" t="s">
        <v>868</v>
      </c>
      <c r="H69" s="7" t="s">
        <v>593</v>
      </c>
      <c r="I69" s="7" t="s">
        <v>749</v>
      </c>
      <c r="J69" s="60">
        <v>45967</v>
      </c>
      <c r="K69" s="170">
        <v>1</v>
      </c>
      <c r="L69" s="128">
        <v>6</v>
      </c>
      <c r="M69" s="7" t="s">
        <v>186</v>
      </c>
      <c r="N69" s="7" t="s">
        <v>186</v>
      </c>
      <c r="O69" s="7" t="s">
        <v>186</v>
      </c>
      <c r="P69" s="7" t="s">
        <v>186</v>
      </c>
      <c r="Q69" s="7" t="s">
        <v>186</v>
      </c>
      <c r="R69" s="7" t="s">
        <v>186</v>
      </c>
      <c r="S69" s="7" t="s">
        <v>186</v>
      </c>
    </row>
    <row r="70" spans="1:19" ht="150" customHeight="1" x14ac:dyDescent="0.3">
      <c r="A70" s="24" t="s">
        <v>869</v>
      </c>
      <c r="B70" s="26" t="s">
        <v>219</v>
      </c>
      <c r="C70" s="24" t="s">
        <v>454</v>
      </c>
      <c r="D70" s="24" t="s">
        <v>870</v>
      </c>
      <c r="E70" s="24" t="s">
        <v>871</v>
      </c>
      <c r="F70" s="7" t="s">
        <v>872</v>
      </c>
      <c r="G70" s="7" t="s">
        <v>873</v>
      </c>
      <c r="H70" s="7" t="s">
        <v>593</v>
      </c>
      <c r="I70" s="7" t="s">
        <v>874</v>
      </c>
      <c r="J70" s="60">
        <v>45967</v>
      </c>
      <c r="K70" s="170">
        <v>2</v>
      </c>
      <c r="L70" s="127">
        <v>4</v>
      </c>
      <c r="M70" s="7" t="s">
        <v>186</v>
      </c>
      <c r="N70" s="7" t="s">
        <v>186</v>
      </c>
      <c r="O70" s="7" t="s">
        <v>186</v>
      </c>
      <c r="P70" s="7" t="s">
        <v>186</v>
      </c>
      <c r="Q70" s="7" t="s">
        <v>186</v>
      </c>
      <c r="R70" s="7" t="s">
        <v>186</v>
      </c>
      <c r="S70" s="7" t="s">
        <v>186</v>
      </c>
    </row>
    <row r="71" spans="1:19" ht="129" customHeight="1" x14ac:dyDescent="0.3">
      <c r="A71" s="24" t="s">
        <v>875</v>
      </c>
      <c r="B71" s="23" t="s">
        <v>305</v>
      </c>
      <c r="C71" s="24" t="s">
        <v>876</v>
      </c>
      <c r="D71" s="24" t="s">
        <v>877</v>
      </c>
      <c r="E71" s="24" t="s">
        <v>878</v>
      </c>
      <c r="F71" s="7" t="s">
        <v>879</v>
      </c>
      <c r="G71" s="7" t="s">
        <v>880</v>
      </c>
      <c r="H71" s="7" t="s">
        <v>881</v>
      </c>
      <c r="I71" s="7" t="s">
        <v>882</v>
      </c>
      <c r="J71" s="60">
        <v>45967</v>
      </c>
      <c r="K71" s="170">
        <v>2</v>
      </c>
      <c r="L71" s="128">
        <v>6</v>
      </c>
      <c r="M71" s="7" t="s">
        <v>186</v>
      </c>
      <c r="N71" s="7" t="s">
        <v>186</v>
      </c>
      <c r="O71" s="7" t="s">
        <v>186</v>
      </c>
      <c r="P71" s="7" t="s">
        <v>186</v>
      </c>
      <c r="Q71" s="7" t="s">
        <v>186</v>
      </c>
      <c r="R71" s="7" t="s">
        <v>186</v>
      </c>
      <c r="S71" s="7" t="s">
        <v>186</v>
      </c>
    </row>
    <row r="72" spans="1:19" ht="125.25" customHeight="1" x14ac:dyDescent="0.3">
      <c r="A72" s="24" t="s">
        <v>883</v>
      </c>
      <c r="B72" s="26" t="s">
        <v>219</v>
      </c>
      <c r="C72" s="24" t="s">
        <v>524</v>
      </c>
      <c r="D72" s="24" t="s">
        <v>884</v>
      </c>
      <c r="E72" s="24" t="s">
        <v>885</v>
      </c>
      <c r="F72" s="7" t="s">
        <v>886</v>
      </c>
      <c r="G72" s="7" t="s">
        <v>887</v>
      </c>
      <c r="H72" s="7" t="s">
        <v>769</v>
      </c>
      <c r="I72" s="7" t="s">
        <v>888</v>
      </c>
      <c r="J72" s="60">
        <v>45967</v>
      </c>
      <c r="K72" s="170">
        <v>2</v>
      </c>
      <c r="L72" s="127">
        <v>4</v>
      </c>
      <c r="M72" s="7" t="s">
        <v>186</v>
      </c>
      <c r="N72" s="7" t="s">
        <v>186</v>
      </c>
      <c r="O72" s="7" t="s">
        <v>186</v>
      </c>
      <c r="P72" s="7" t="s">
        <v>186</v>
      </c>
      <c r="Q72" s="7" t="s">
        <v>186</v>
      </c>
      <c r="R72" s="7" t="s">
        <v>186</v>
      </c>
      <c r="S72" s="7" t="s">
        <v>186</v>
      </c>
    </row>
    <row r="73" spans="1:19" ht="133.5" customHeight="1" x14ac:dyDescent="0.3">
      <c r="A73" s="24" t="s">
        <v>889</v>
      </c>
      <c r="B73" s="23" t="s">
        <v>305</v>
      </c>
      <c r="C73" s="24" t="s">
        <v>454</v>
      </c>
      <c r="D73" s="24" t="s">
        <v>890</v>
      </c>
      <c r="E73" s="24" t="s">
        <v>891</v>
      </c>
      <c r="F73" s="7" t="s">
        <v>892</v>
      </c>
      <c r="G73" s="7" t="s">
        <v>893</v>
      </c>
      <c r="H73" s="7" t="s">
        <v>695</v>
      </c>
      <c r="I73" s="7" t="s">
        <v>894</v>
      </c>
      <c r="J73" s="60">
        <v>45967</v>
      </c>
      <c r="K73" s="170">
        <v>1</v>
      </c>
      <c r="L73" s="128">
        <v>6</v>
      </c>
      <c r="M73" s="7" t="s">
        <v>186</v>
      </c>
      <c r="N73" s="7" t="s">
        <v>186</v>
      </c>
      <c r="O73" s="7" t="s">
        <v>186</v>
      </c>
      <c r="P73" s="7" t="s">
        <v>186</v>
      </c>
      <c r="Q73" s="7" t="s">
        <v>186</v>
      </c>
      <c r="R73" s="7" t="s">
        <v>186</v>
      </c>
      <c r="S73" s="7" t="s">
        <v>186</v>
      </c>
    </row>
    <row r="74" spans="1:19" ht="124.5" customHeight="1" x14ac:dyDescent="0.3">
      <c r="A74" s="24" t="s">
        <v>137</v>
      </c>
      <c r="B74" s="26" t="s">
        <v>219</v>
      </c>
      <c r="C74" s="24" t="s">
        <v>454</v>
      </c>
      <c r="D74" s="24" t="s">
        <v>138</v>
      </c>
      <c r="E74" s="24" t="s">
        <v>895</v>
      </c>
      <c r="F74" s="7" t="s">
        <v>896</v>
      </c>
      <c r="G74" s="7" t="s">
        <v>897</v>
      </c>
      <c r="H74" s="7" t="s">
        <v>702</v>
      </c>
      <c r="I74" s="7" t="s">
        <v>703</v>
      </c>
      <c r="J74" s="60">
        <v>45967</v>
      </c>
      <c r="K74" s="170">
        <v>3</v>
      </c>
      <c r="L74" s="127">
        <v>4</v>
      </c>
      <c r="M74" s="7" t="s">
        <v>186</v>
      </c>
      <c r="N74" s="7" t="s">
        <v>186</v>
      </c>
      <c r="O74" s="7" t="s">
        <v>186</v>
      </c>
      <c r="P74" s="7" t="s">
        <v>186</v>
      </c>
      <c r="Q74" s="7" t="s">
        <v>186</v>
      </c>
      <c r="R74" s="7" t="s">
        <v>186</v>
      </c>
      <c r="S74" s="7" t="s">
        <v>186</v>
      </c>
    </row>
    <row r="75" spans="1:19" ht="144" customHeight="1" x14ac:dyDescent="0.3">
      <c r="A75" s="24" t="s">
        <v>898</v>
      </c>
      <c r="B75" s="23" t="s">
        <v>305</v>
      </c>
      <c r="C75" s="24" t="s">
        <v>454</v>
      </c>
      <c r="D75" s="24" t="s">
        <v>899</v>
      </c>
      <c r="E75" s="24" t="s">
        <v>900</v>
      </c>
      <c r="F75" s="7" t="s">
        <v>901</v>
      </c>
      <c r="G75" s="7" t="s">
        <v>902</v>
      </c>
      <c r="H75" s="7" t="s">
        <v>593</v>
      </c>
      <c r="I75" s="7" t="s">
        <v>851</v>
      </c>
      <c r="J75" s="60">
        <v>45967</v>
      </c>
      <c r="K75" s="170">
        <v>2</v>
      </c>
      <c r="L75" s="128">
        <v>6</v>
      </c>
      <c r="M75" s="7" t="s">
        <v>186</v>
      </c>
      <c r="N75" s="7" t="s">
        <v>186</v>
      </c>
      <c r="O75" s="7" t="s">
        <v>186</v>
      </c>
      <c r="P75" s="7" t="s">
        <v>186</v>
      </c>
      <c r="Q75" s="7" t="s">
        <v>186</v>
      </c>
      <c r="R75" s="7" t="s">
        <v>186</v>
      </c>
      <c r="S75" s="7" t="s">
        <v>186</v>
      </c>
    </row>
    <row r="76" spans="1:19" ht="141" customHeight="1" x14ac:dyDescent="0.3">
      <c r="A76" s="24" t="s">
        <v>903</v>
      </c>
      <c r="B76" s="26" t="s">
        <v>219</v>
      </c>
      <c r="C76" s="24" t="s">
        <v>581</v>
      </c>
      <c r="D76" s="24" t="s">
        <v>904</v>
      </c>
      <c r="E76" s="24" t="s">
        <v>905</v>
      </c>
      <c r="F76" s="7" t="s">
        <v>906</v>
      </c>
      <c r="G76" s="7" t="s">
        <v>907</v>
      </c>
      <c r="H76" s="7" t="s">
        <v>908</v>
      </c>
      <c r="I76" s="7" t="s">
        <v>909</v>
      </c>
      <c r="J76" s="60">
        <v>45967</v>
      </c>
      <c r="K76" s="170">
        <v>2</v>
      </c>
      <c r="L76" s="127">
        <v>4</v>
      </c>
      <c r="M76" s="7" t="s">
        <v>186</v>
      </c>
      <c r="N76" s="7" t="s">
        <v>186</v>
      </c>
      <c r="O76" s="7" t="s">
        <v>186</v>
      </c>
      <c r="P76" s="7" t="s">
        <v>186</v>
      </c>
      <c r="Q76" s="7" t="s">
        <v>186</v>
      </c>
      <c r="R76" s="7" t="s">
        <v>186</v>
      </c>
      <c r="S76" s="7" t="s">
        <v>186</v>
      </c>
    </row>
    <row r="77" spans="1:19" ht="116.25" customHeight="1" x14ac:dyDescent="0.3">
      <c r="A77" s="24" t="s">
        <v>910</v>
      </c>
      <c r="B77" s="23" t="s">
        <v>305</v>
      </c>
      <c r="C77" s="24" t="s">
        <v>809</v>
      </c>
      <c r="D77" s="24" t="s">
        <v>911</v>
      </c>
      <c r="E77" s="24" t="s">
        <v>912</v>
      </c>
      <c r="F77" s="7" t="s">
        <v>913</v>
      </c>
      <c r="G77" s="7" t="s">
        <v>914</v>
      </c>
      <c r="H77" s="7" t="s">
        <v>915</v>
      </c>
      <c r="I77" s="7" t="s">
        <v>916</v>
      </c>
      <c r="J77" s="60">
        <v>45967</v>
      </c>
      <c r="K77" s="170">
        <v>2</v>
      </c>
      <c r="L77" s="128">
        <v>6</v>
      </c>
      <c r="M77" s="7" t="s">
        <v>186</v>
      </c>
      <c r="N77" s="7" t="s">
        <v>186</v>
      </c>
      <c r="O77" s="7" t="s">
        <v>186</v>
      </c>
      <c r="P77" s="7" t="s">
        <v>186</v>
      </c>
      <c r="Q77" s="7" t="s">
        <v>186</v>
      </c>
      <c r="R77" s="7" t="s">
        <v>186</v>
      </c>
      <c r="S77" s="7" t="s">
        <v>186</v>
      </c>
    </row>
    <row r="78" spans="1:19" ht="111" customHeight="1" x14ac:dyDescent="0.3">
      <c r="A78" s="24" t="s">
        <v>917</v>
      </c>
      <c r="B78" s="25" t="s">
        <v>167</v>
      </c>
      <c r="C78" s="24" t="s">
        <v>524</v>
      </c>
      <c r="D78" s="24" t="s">
        <v>918</v>
      </c>
      <c r="E78" s="24" t="s">
        <v>919</v>
      </c>
      <c r="F78" s="7" t="s">
        <v>920</v>
      </c>
      <c r="G78" s="7" t="s">
        <v>921</v>
      </c>
      <c r="H78" s="113" t="s">
        <v>769</v>
      </c>
      <c r="I78" s="7" t="s">
        <v>922</v>
      </c>
      <c r="J78" s="60">
        <v>45967</v>
      </c>
      <c r="K78" s="170">
        <v>3</v>
      </c>
      <c r="L78" s="72">
        <v>3</v>
      </c>
      <c r="M78" s="113"/>
      <c r="N78" s="113"/>
      <c r="O78" s="113"/>
      <c r="P78" s="113"/>
      <c r="Q78" s="113"/>
      <c r="R78" s="113"/>
      <c r="S78" s="113"/>
    </row>
    <row r="79" spans="1:19" ht="116.25" customHeight="1" x14ac:dyDescent="0.3">
      <c r="A79" s="24" t="s">
        <v>923</v>
      </c>
      <c r="B79" s="26" t="s">
        <v>219</v>
      </c>
      <c r="C79" s="24" t="s">
        <v>524</v>
      </c>
      <c r="D79" s="24" t="s">
        <v>924</v>
      </c>
      <c r="E79" s="24" t="s">
        <v>925</v>
      </c>
      <c r="F79" s="7" t="s">
        <v>926</v>
      </c>
      <c r="G79" s="7" t="s">
        <v>927</v>
      </c>
      <c r="H79" s="113" t="s">
        <v>769</v>
      </c>
      <c r="I79" s="7" t="s">
        <v>928</v>
      </c>
      <c r="J79" s="60">
        <v>45967</v>
      </c>
      <c r="K79" s="170">
        <v>2</v>
      </c>
      <c r="L79" s="127">
        <v>4</v>
      </c>
      <c r="M79" s="113"/>
      <c r="N79" s="113"/>
      <c r="O79" s="113"/>
      <c r="P79" s="113"/>
      <c r="Q79" s="113"/>
      <c r="R79" s="113"/>
      <c r="S79" s="113"/>
    </row>
    <row r="80" spans="1:19" ht="147.75" customHeight="1" x14ac:dyDescent="0.3">
      <c r="A80" s="24" t="s">
        <v>929</v>
      </c>
      <c r="B80" s="26" t="s">
        <v>219</v>
      </c>
      <c r="C80" s="24" t="s">
        <v>611</v>
      </c>
      <c r="D80" s="24" t="s">
        <v>930</v>
      </c>
      <c r="E80" s="24" t="s">
        <v>931</v>
      </c>
      <c r="F80" s="7" t="s">
        <v>932</v>
      </c>
      <c r="G80" s="7" t="s">
        <v>933</v>
      </c>
      <c r="H80" s="113" t="s">
        <v>934</v>
      </c>
      <c r="I80" s="7" t="s">
        <v>935</v>
      </c>
      <c r="J80" s="60">
        <v>45967</v>
      </c>
      <c r="K80" s="170">
        <v>2</v>
      </c>
      <c r="L80" s="127">
        <v>4</v>
      </c>
      <c r="M80" s="113"/>
      <c r="N80" s="113"/>
      <c r="O80" s="113"/>
      <c r="P80" s="113"/>
      <c r="Q80" s="113"/>
      <c r="R80" s="113"/>
      <c r="S80" s="113"/>
    </row>
    <row r="81" spans="1:19" ht="127.5" customHeight="1" x14ac:dyDescent="0.3">
      <c r="A81" s="24" t="s">
        <v>936</v>
      </c>
      <c r="B81" s="23" t="s">
        <v>305</v>
      </c>
      <c r="C81" s="24" t="s">
        <v>603</v>
      </c>
      <c r="D81" s="24" t="s">
        <v>937</v>
      </c>
      <c r="E81" s="24" t="s">
        <v>938</v>
      </c>
      <c r="F81" s="7" t="s">
        <v>939</v>
      </c>
      <c r="G81" s="7" t="s">
        <v>940</v>
      </c>
      <c r="H81" s="113" t="s">
        <v>608</v>
      </c>
      <c r="I81" s="7" t="s">
        <v>941</v>
      </c>
      <c r="J81" s="60">
        <v>45967</v>
      </c>
      <c r="K81" s="170">
        <v>1</v>
      </c>
      <c r="L81" s="128">
        <v>6</v>
      </c>
      <c r="M81" s="113"/>
      <c r="N81" s="113"/>
      <c r="O81" s="113"/>
      <c r="P81" s="113"/>
      <c r="Q81" s="113"/>
      <c r="R81" s="113"/>
      <c r="S81" s="113"/>
    </row>
    <row r="82" spans="1:19" ht="140.25" customHeight="1" x14ac:dyDescent="0.3">
      <c r="A82" s="24" t="s">
        <v>942</v>
      </c>
      <c r="B82" s="26" t="s">
        <v>219</v>
      </c>
      <c r="C82" s="24" t="s">
        <v>454</v>
      </c>
      <c r="D82" s="24" t="s">
        <v>943</v>
      </c>
      <c r="E82" s="24" t="s">
        <v>944</v>
      </c>
      <c r="F82" s="7" t="s">
        <v>945</v>
      </c>
      <c r="G82" s="7" t="s">
        <v>946</v>
      </c>
      <c r="H82" s="113" t="s">
        <v>593</v>
      </c>
      <c r="I82" s="7" t="s">
        <v>947</v>
      </c>
      <c r="J82" s="60">
        <v>45967</v>
      </c>
      <c r="K82" s="170">
        <v>3</v>
      </c>
      <c r="L82" s="127">
        <v>4</v>
      </c>
      <c r="M82" s="113"/>
      <c r="N82" s="113"/>
      <c r="O82" s="113"/>
      <c r="P82" s="113"/>
      <c r="Q82" s="113"/>
      <c r="R82" s="113"/>
      <c r="S82" s="113"/>
    </row>
    <row r="83" spans="1:19" ht="114.75" customHeight="1" x14ac:dyDescent="0.3">
      <c r="A83" s="24" t="s">
        <v>948</v>
      </c>
      <c r="B83" s="23" t="s">
        <v>305</v>
      </c>
      <c r="C83" s="24" t="s">
        <v>488</v>
      </c>
      <c r="D83" s="24" t="s">
        <v>949</v>
      </c>
      <c r="E83" s="24" t="s">
        <v>950</v>
      </c>
      <c r="F83" s="7" t="s">
        <v>951</v>
      </c>
      <c r="G83" s="7" t="s">
        <v>952</v>
      </c>
      <c r="H83" s="113" t="s">
        <v>953</v>
      </c>
      <c r="I83" s="7" t="s">
        <v>802</v>
      </c>
      <c r="J83" s="60">
        <v>45967</v>
      </c>
      <c r="K83" s="170">
        <v>2</v>
      </c>
      <c r="L83" s="128">
        <v>6</v>
      </c>
      <c r="M83" s="113"/>
      <c r="N83" s="113"/>
      <c r="O83" s="113"/>
      <c r="P83" s="113"/>
      <c r="Q83" s="113"/>
      <c r="R83" s="113"/>
      <c r="S83" s="113"/>
    </row>
    <row r="84" spans="1:19" ht="141" customHeight="1" x14ac:dyDescent="0.3">
      <c r="A84" s="24" t="s">
        <v>954</v>
      </c>
      <c r="B84" s="26" t="s">
        <v>219</v>
      </c>
      <c r="C84" s="24" t="s">
        <v>246</v>
      </c>
      <c r="D84" s="24" t="s">
        <v>955</v>
      </c>
      <c r="E84" s="24" t="s">
        <v>956</v>
      </c>
      <c r="F84" s="7" t="s">
        <v>957</v>
      </c>
      <c r="G84" s="7" t="s">
        <v>958</v>
      </c>
      <c r="H84" s="113" t="s">
        <v>959</v>
      </c>
      <c r="I84" s="7" t="s">
        <v>960</v>
      </c>
      <c r="J84" s="60">
        <v>45967</v>
      </c>
      <c r="K84" s="170">
        <v>2</v>
      </c>
      <c r="L84" s="127">
        <v>4</v>
      </c>
      <c r="M84" s="113"/>
      <c r="N84" s="113"/>
      <c r="O84" s="113"/>
      <c r="P84" s="113"/>
      <c r="Q84" s="113"/>
      <c r="R84" s="113"/>
      <c r="S84" s="113"/>
    </row>
    <row r="85" spans="1:19" ht="141" customHeight="1" x14ac:dyDescent="0.3">
      <c r="A85" s="24" t="s">
        <v>961</v>
      </c>
      <c r="B85" s="23" t="s">
        <v>305</v>
      </c>
      <c r="C85" s="24" t="s">
        <v>454</v>
      </c>
      <c r="D85" s="24" t="s">
        <v>962</v>
      </c>
      <c r="E85" s="24" t="s">
        <v>963</v>
      </c>
      <c r="F85" s="7" t="s">
        <v>964</v>
      </c>
      <c r="G85" s="7" t="s">
        <v>965</v>
      </c>
      <c r="H85" s="113" t="s">
        <v>593</v>
      </c>
      <c r="I85" s="7" t="s">
        <v>966</v>
      </c>
      <c r="J85" s="60">
        <v>45967</v>
      </c>
      <c r="K85" s="170">
        <v>2</v>
      </c>
      <c r="L85" s="128">
        <v>6</v>
      </c>
      <c r="M85" s="113"/>
      <c r="N85" s="113"/>
      <c r="O85" s="113"/>
      <c r="P85" s="113"/>
      <c r="Q85" s="113"/>
      <c r="R85" s="113"/>
      <c r="S85" s="113"/>
    </row>
    <row r="86" spans="1:19" ht="125.25" customHeight="1" x14ac:dyDescent="0.3">
      <c r="A86" s="24" t="s">
        <v>967</v>
      </c>
      <c r="B86" s="25" t="s">
        <v>167</v>
      </c>
      <c r="C86" s="24" t="s">
        <v>876</v>
      </c>
      <c r="D86" s="24" t="s">
        <v>968</v>
      </c>
      <c r="E86" s="24" t="s">
        <v>969</v>
      </c>
      <c r="F86" s="7" t="s">
        <v>970</v>
      </c>
      <c r="G86" s="7" t="s">
        <v>971</v>
      </c>
      <c r="H86" s="113" t="s">
        <v>881</v>
      </c>
      <c r="I86" s="7" t="s">
        <v>972</v>
      </c>
      <c r="J86" s="60">
        <v>45967</v>
      </c>
      <c r="K86" s="170">
        <v>4</v>
      </c>
      <c r="L86" s="72">
        <v>3</v>
      </c>
      <c r="M86" s="113"/>
      <c r="N86" s="113"/>
      <c r="O86" s="113"/>
      <c r="P86" s="113"/>
      <c r="Q86" s="113"/>
      <c r="R86" s="113"/>
      <c r="S86" s="113"/>
    </row>
    <row r="87" spans="1:19" ht="140.25" customHeight="1" x14ac:dyDescent="0.3">
      <c r="A87" s="24" t="s">
        <v>973</v>
      </c>
      <c r="B87" s="26" t="s">
        <v>219</v>
      </c>
      <c r="C87" s="24" t="s">
        <v>611</v>
      </c>
      <c r="D87" s="24" t="s">
        <v>974</v>
      </c>
      <c r="E87" s="24" t="s">
        <v>975</v>
      </c>
      <c r="F87" s="7" t="s">
        <v>976</v>
      </c>
      <c r="G87" s="7" t="s">
        <v>977</v>
      </c>
      <c r="H87" s="113" t="s">
        <v>616</v>
      </c>
      <c r="I87" s="7" t="s">
        <v>978</v>
      </c>
      <c r="J87" s="60">
        <v>45967</v>
      </c>
      <c r="K87" s="170">
        <v>2</v>
      </c>
      <c r="L87" s="127">
        <v>4</v>
      </c>
      <c r="M87" s="113"/>
      <c r="N87" s="113"/>
      <c r="O87" s="113"/>
      <c r="P87" s="113"/>
      <c r="Q87" s="113"/>
      <c r="R87" s="113"/>
      <c r="S87" s="113"/>
    </row>
    <row r="88" spans="1:19" ht="141.75" customHeight="1" x14ac:dyDescent="0.3">
      <c r="A88" s="24" t="s">
        <v>979</v>
      </c>
      <c r="B88" s="26" t="s">
        <v>219</v>
      </c>
      <c r="C88" s="24" t="s">
        <v>465</v>
      </c>
      <c r="D88" s="24" t="s">
        <v>980</v>
      </c>
      <c r="E88" s="24" t="s">
        <v>981</v>
      </c>
      <c r="F88" s="7" t="s">
        <v>982</v>
      </c>
      <c r="G88" s="7" t="s">
        <v>983</v>
      </c>
      <c r="H88" s="113" t="s">
        <v>984</v>
      </c>
      <c r="I88" s="7" t="s">
        <v>985</v>
      </c>
      <c r="J88" s="60">
        <v>45967</v>
      </c>
      <c r="K88" s="170">
        <v>2</v>
      </c>
      <c r="L88" s="127">
        <v>4</v>
      </c>
      <c r="M88" s="113"/>
      <c r="N88" s="113"/>
      <c r="O88" s="113"/>
      <c r="P88" s="113"/>
      <c r="Q88" s="113"/>
      <c r="R88" s="113"/>
      <c r="S88" s="113"/>
    </row>
    <row r="89" spans="1:19" ht="143.25" customHeight="1" x14ac:dyDescent="0.3">
      <c r="A89" s="24" t="s">
        <v>986</v>
      </c>
      <c r="B89" s="23" t="s">
        <v>305</v>
      </c>
      <c r="C89" s="24" t="s">
        <v>809</v>
      </c>
      <c r="D89" s="24" t="s">
        <v>987</v>
      </c>
      <c r="E89" s="24" t="s">
        <v>988</v>
      </c>
      <c r="F89" s="7" t="s">
        <v>989</v>
      </c>
      <c r="G89" s="7" t="s">
        <v>990</v>
      </c>
      <c r="H89" s="113" t="s">
        <v>991</v>
      </c>
      <c r="I89" s="7" t="s">
        <v>992</v>
      </c>
      <c r="J89" s="60">
        <v>45967</v>
      </c>
      <c r="K89" s="170">
        <v>2</v>
      </c>
      <c r="L89" s="128">
        <v>6</v>
      </c>
      <c r="M89" s="113"/>
      <c r="N89" s="113"/>
      <c r="O89" s="113"/>
      <c r="P89" s="113"/>
      <c r="Q89" s="113"/>
      <c r="R89" s="113"/>
      <c r="S89" s="113"/>
    </row>
    <row r="90" spans="1:19" ht="148.5" customHeight="1" x14ac:dyDescent="0.3">
      <c r="A90" s="24" t="s">
        <v>993</v>
      </c>
      <c r="B90" s="27" t="s">
        <v>539</v>
      </c>
      <c r="C90" s="24" t="s">
        <v>454</v>
      </c>
      <c r="D90" s="24" t="s">
        <v>994</v>
      </c>
      <c r="E90" s="24" t="s">
        <v>995</v>
      </c>
      <c r="F90" s="7" t="s">
        <v>996</v>
      </c>
      <c r="G90" s="7" t="s">
        <v>997</v>
      </c>
      <c r="H90" s="113" t="s">
        <v>557</v>
      </c>
      <c r="I90" s="7" t="s">
        <v>998</v>
      </c>
      <c r="J90" s="60">
        <v>45967</v>
      </c>
      <c r="K90" s="170">
        <v>1</v>
      </c>
      <c r="L90" s="128">
        <v>6</v>
      </c>
      <c r="M90" s="113"/>
      <c r="N90" s="113"/>
      <c r="O90" s="113"/>
      <c r="P90" s="113"/>
      <c r="Q90" s="113"/>
      <c r="R90" s="113"/>
      <c r="S90" s="113"/>
    </row>
    <row r="91" spans="1:19" ht="141.75" customHeight="1" x14ac:dyDescent="0.3">
      <c r="A91" s="24" t="s">
        <v>999</v>
      </c>
      <c r="B91" s="26" t="s">
        <v>219</v>
      </c>
      <c r="C91" s="24" t="s">
        <v>454</v>
      </c>
      <c r="D91" s="24" t="s">
        <v>1000</v>
      </c>
      <c r="E91" s="24" t="s">
        <v>1001</v>
      </c>
      <c r="F91" s="7" t="s">
        <v>1002</v>
      </c>
      <c r="G91" s="7" t="s">
        <v>1003</v>
      </c>
      <c r="H91" s="113" t="s">
        <v>593</v>
      </c>
      <c r="I91" s="7" t="s">
        <v>1004</v>
      </c>
      <c r="J91" s="60">
        <v>45967</v>
      </c>
      <c r="K91" s="170">
        <v>2</v>
      </c>
      <c r="L91" s="127">
        <v>4</v>
      </c>
      <c r="M91" s="113"/>
      <c r="N91" s="113"/>
      <c r="O91" s="113"/>
      <c r="P91" s="113"/>
      <c r="Q91" s="113"/>
      <c r="R91" s="113"/>
      <c r="S91" s="113"/>
    </row>
    <row r="92" spans="1:19" ht="109.5" customHeight="1" x14ac:dyDescent="0.3">
      <c r="A92" s="24" t="s">
        <v>1005</v>
      </c>
      <c r="B92" s="23" t="s">
        <v>305</v>
      </c>
      <c r="C92" s="24" t="s">
        <v>829</v>
      </c>
      <c r="D92" s="24" t="s">
        <v>1006</v>
      </c>
      <c r="E92" s="24" t="s">
        <v>1007</v>
      </c>
      <c r="F92" s="7" t="s">
        <v>1008</v>
      </c>
      <c r="G92" s="7" t="s">
        <v>1009</v>
      </c>
      <c r="H92" s="113" t="s">
        <v>834</v>
      </c>
      <c r="I92" s="7" t="s">
        <v>1010</v>
      </c>
      <c r="J92" s="60">
        <v>45967</v>
      </c>
      <c r="K92" s="170">
        <v>1</v>
      </c>
      <c r="L92" s="128">
        <v>6</v>
      </c>
      <c r="M92" s="113"/>
      <c r="N92" s="113"/>
      <c r="O92" s="113"/>
      <c r="P92" s="113"/>
      <c r="Q92" s="113"/>
      <c r="R92" s="113"/>
      <c r="S92" s="113"/>
    </row>
    <row r="93" spans="1:19" ht="75" customHeight="1" x14ac:dyDescent="0.3">
      <c r="A93" s="24" t="s">
        <v>1011</v>
      </c>
      <c r="B93" s="25" t="s">
        <v>167</v>
      </c>
      <c r="C93" s="24" t="s">
        <v>829</v>
      </c>
      <c r="D93" s="24" t="s">
        <v>1012</v>
      </c>
      <c r="E93" s="24" t="s">
        <v>1013</v>
      </c>
      <c r="F93" s="7" t="s">
        <v>1014</v>
      </c>
      <c r="G93" s="7" t="s">
        <v>1015</v>
      </c>
      <c r="H93" s="113" t="s">
        <v>834</v>
      </c>
      <c r="I93" s="7" t="s">
        <v>1016</v>
      </c>
      <c r="J93" s="60">
        <v>45967</v>
      </c>
      <c r="K93" s="170">
        <v>3</v>
      </c>
      <c r="L93" s="72">
        <v>3</v>
      </c>
      <c r="M93" s="113"/>
      <c r="N93" s="113"/>
      <c r="O93" s="113"/>
      <c r="P93" s="113"/>
      <c r="Q93" s="113"/>
      <c r="R93" s="113"/>
      <c r="S93" s="113"/>
    </row>
    <row r="94" spans="1:19" ht="91.5" customHeight="1" x14ac:dyDescent="0.3">
      <c r="A94" s="24" t="s">
        <v>1017</v>
      </c>
      <c r="B94" s="25" t="s">
        <v>167</v>
      </c>
      <c r="C94" s="24" t="s">
        <v>488</v>
      </c>
      <c r="D94" s="24" t="s">
        <v>1018</v>
      </c>
      <c r="E94" s="24" t="s">
        <v>1019</v>
      </c>
      <c r="F94" s="7" t="s">
        <v>1020</v>
      </c>
      <c r="G94" s="7" t="s">
        <v>1021</v>
      </c>
      <c r="H94" s="113" t="s">
        <v>1022</v>
      </c>
      <c r="I94" s="7" t="s">
        <v>1023</v>
      </c>
      <c r="J94" s="60">
        <v>45967</v>
      </c>
      <c r="K94" s="170">
        <v>4</v>
      </c>
      <c r="L94" s="72">
        <v>3</v>
      </c>
      <c r="M94" s="113"/>
      <c r="N94" s="113"/>
      <c r="O94" s="113"/>
      <c r="P94" s="113"/>
      <c r="Q94" s="113"/>
      <c r="R94" s="113"/>
      <c r="S94" s="113"/>
    </row>
    <row r="95" spans="1:19" ht="86.25" customHeight="1" x14ac:dyDescent="0.3">
      <c r="A95" s="24" t="s">
        <v>1024</v>
      </c>
      <c r="B95" s="26" t="s">
        <v>219</v>
      </c>
      <c r="C95" s="24" t="s">
        <v>1025</v>
      </c>
      <c r="D95" s="24" t="s">
        <v>1026</v>
      </c>
      <c r="E95" s="24" t="s">
        <v>1027</v>
      </c>
      <c r="F95" s="7" t="s">
        <v>1028</v>
      </c>
      <c r="G95" s="7" t="s">
        <v>1029</v>
      </c>
      <c r="H95" s="113" t="s">
        <v>1030</v>
      </c>
      <c r="I95" s="7" t="s">
        <v>1031</v>
      </c>
      <c r="J95" s="60">
        <v>45967</v>
      </c>
      <c r="K95" s="170">
        <v>2</v>
      </c>
      <c r="L95" s="127">
        <v>4</v>
      </c>
      <c r="M95" s="113"/>
      <c r="N95" s="113"/>
      <c r="O95" s="113"/>
      <c r="P95" s="113"/>
      <c r="Q95" s="113"/>
      <c r="R95" s="113"/>
      <c r="S95" s="113"/>
    </row>
    <row r="96" spans="1:19" ht="80.25" customHeight="1" x14ac:dyDescent="0.3">
      <c r="A96" s="24" t="s">
        <v>1032</v>
      </c>
      <c r="B96" s="26" t="s">
        <v>219</v>
      </c>
      <c r="C96" s="24" t="s">
        <v>1033</v>
      </c>
      <c r="D96" s="24" t="s">
        <v>1034</v>
      </c>
      <c r="E96" s="24" t="s">
        <v>1035</v>
      </c>
      <c r="F96" s="7" t="s">
        <v>1036</v>
      </c>
      <c r="G96" s="7" t="s">
        <v>1037</v>
      </c>
      <c r="H96" s="113" t="s">
        <v>1038</v>
      </c>
      <c r="I96" s="7" t="s">
        <v>1039</v>
      </c>
      <c r="J96" s="60">
        <v>45967</v>
      </c>
      <c r="K96" s="170">
        <v>2</v>
      </c>
      <c r="L96" s="127">
        <v>4</v>
      </c>
      <c r="M96" s="113"/>
      <c r="N96" s="113"/>
      <c r="O96" s="113"/>
      <c r="P96" s="113"/>
      <c r="Q96" s="113"/>
      <c r="R96" s="113"/>
      <c r="S96" s="113"/>
    </row>
    <row r="97" spans="1:19" ht="80.25" customHeight="1" x14ac:dyDescent="0.3">
      <c r="A97" s="24" t="s">
        <v>1040</v>
      </c>
      <c r="B97" s="26" t="s">
        <v>219</v>
      </c>
      <c r="C97" s="24" t="s">
        <v>473</v>
      </c>
      <c r="D97" s="24" t="s">
        <v>1041</v>
      </c>
      <c r="E97" s="24" t="s">
        <v>1042</v>
      </c>
      <c r="F97" s="7" t="s">
        <v>1043</v>
      </c>
      <c r="G97" s="7" t="s">
        <v>1044</v>
      </c>
      <c r="H97" s="113" t="s">
        <v>1045</v>
      </c>
      <c r="I97" s="7" t="s">
        <v>1046</v>
      </c>
      <c r="J97" s="60">
        <v>45967</v>
      </c>
      <c r="K97" s="170">
        <v>2</v>
      </c>
      <c r="L97" s="127">
        <v>4</v>
      </c>
      <c r="M97" s="113"/>
      <c r="N97" s="113"/>
      <c r="O97" s="113"/>
      <c r="P97" s="113"/>
      <c r="Q97" s="113"/>
      <c r="R97" s="113"/>
      <c r="S97" s="113"/>
    </row>
    <row r="98" spans="1:19" ht="118.5" customHeight="1" x14ac:dyDescent="0.3">
      <c r="A98" s="24" t="s">
        <v>1047</v>
      </c>
      <c r="B98" s="26" t="s">
        <v>219</v>
      </c>
      <c r="C98" s="24" t="s">
        <v>465</v>
      </c>
      <c r="D98" s="24" t="s">
        <v>1048</v>
      </c>
      <c r="E98" s="24" t="s">
        <v>1049</v>
      </c>
      <c r="F98" s="7" t="s">
        <v>1050</v>
      </c>
      <c r="G98" s="7" t="s">
        <v>1051</v>
      </c>
      <c r="H98" s="113" t="s">
        <v>470</v>
      </c>
      <c r="I98" s="7" t="s">
        <v>1052</v>
      </c>
      <c r="J98" s="60">
        <v>45967</v>
      </c>
      <c r="K98" s="170">
        <v>3</v>
      </c>
      <c r="L98" s="127">
        <v>4</v>
      </c>
      <c r="M98" s="113"/>
      <c r="N98" s="113"/>
      <c r="O98" s="113"/>
      <c r="P98" s="113"/>
      <c r="Q98" s="113"/>
      <c r="R98" s="113"/>
      <c r="S98" s="113"/>
    </row>
    <row r="99" spans="1:19" ht="89.25" customHeight="1" x14ac:dyDescent="0.3">
      <c r="A99" s="24" t="s">
        <v>1053</v>
      </c>
      <c r="B99" s="23" t="s">
        <v>305</v>
      </c>
      <c r="C99" s="24" t="s">
        <v>736</v>
      </c>
      <c r="D99" s="24" t="s">
        <v>1054</v>
      </c>
      <c r="E99" s="24" t="s">
        <v>1055</v>
      </c>
      <c r="F99" s="7" t="s">
        <v>1056</v>
      </c>
      <c r="G99" s="7" t="s">
        <v>1057</v>
      </c>
      <c r="H99" s="113" t="s">
        <v>1058</v>
      </c>
      <c r="I99" s="7" t="s">
        <v>1059</v>
      </c>
      <c r="J99" s="60">
        <v>45967</v>
      </c>
      <c r="K99" s="170">
        <v>2</v>
      </c>
      <c r="L99" s="128">
        <v>6</v>
      </c>
      <c r="M99" s="113"/>
      <c r="N99" s="113"/>
      <c r="O99" s="113"/>
      <c r="P99" s="113"/>
      <c r="Q99" s="113"/>
      <c r="R99" s="113"/>
      <c r="S99" s="113"/>
    </row>
    <row r="100" spans="1:19" ht="89.25" customHeight="1" x14ac:dyDescent="0.3">
      <c r="A100" s="24" t="s">
        <v>1060</v>
      </c>
      <c r="B100" s="23" t="s">
        <v>305</v>
      </c>
      <c r="C100" s="24" t="s">
        <v>5</v>
      </c>
      <c r="D100" s="24" t="s">
        <v>1061</v>
      </c>
      <c r="E100" s="24" t="s">
        <v>1062</v>
      </c>
      <c r="F100" s="7" t="s">
        <v>1063</v>
      </c>
      <c r="G100" s="7" t="s">
        <v>1064</v>
      </c>
      <c r="H100" s="113" t="s">
        <v>1065</v>
      </c>
      <c r="I100" s="7" t="s">
        <v>1066</v>
      </c>
      <c r="J100" s="60">
        <v>45967</v>
      </c>
      <c r="K100" s="170">
        <v>2</v>
      </c>
      <c r="L100" s="128">
        <v>6</v>
      </c>
      <c r="M100" s="113"/>
      <c r="N100" s="113"/>
      <c r="O100" s="113"/>
      <c r="P100" s="113"/>
      <c r="Q100" s="113"/>
      <c r="R100" s="113"/>
      <c r="S100" s="113"/>
    </row>
    <row r="101" spans="1:19" ht="99" customHeight="1" x14ac:dyDescent="0.3">
      <c r="A101" s="24" t="s">
        <v>1067</v>
      </c>
      <c r="B101" s="23" t="s">
        <v>305</v>
      </c>
      <c r="C101" s="24" t="s">
        <v>581</v>
      </c>
      <c r="D101" s="24" t="s">
        <v>1068</v>
      </c>
      <c r="E101" s="24" t="s">
        <v>1069</v>
      </c>
      <c r="F101" s="7" t="s">
        <v>1070</v>
      </c>
      <c r="G101" s="7" t="s">
        <v>1071</v>
      </c>
      <c r="H101" s="113" t="s">
        <v>586</v>
      </c>
      <c r="I101" s="7" t="s">
        <v>1072</v>
      </c>
      <c r="J101" s="60">
        <v>45967</v>
      </c>
      <c r="K101" s="170">
        <v>1</v>
      </c>
      <c r="L101" s="128">
        <v>6</v>
      </c>
      <c r="M101" s="113"/>
      <c r="N101" s="113"/>
      <c r="O101" s="113"/>
      <c r="P101" s="113"/>
      <c r="Q101" s="113"/>
      <c r="R101" s="113"/>
      <c r="S101" s="113"/>
    </row>
    <row r="102" spans="1:19" ht="99.75" customHeight="1" x14ac:dyDescent="0.3">
      <c r="A102" s="24" t="s">
        <v>1073</v>
      </c>
      <c r="B102" s="27" t="s">
        <v>539</v>
      </c>
      <c r="C102" s="24" t="s">
        <v>284</v>
      </c>
      <c r="D102" s="24" t="s">
        <v>1074</v>
      </c>
      <c r="E102" s="24" t="s">
        <v>1075</v>
      </c>
      <c r="F102" s="7" t="s">
        <v>1076</v>
      </c>
      <c r="G102" s="7" t="s">
        <v>1077</v>
      </c>
      <c r="H102" s="113" t="s">
        <v>1078</v>
      </c>
      <c r="I102" s="7" t="s">
        <v>1079</v>
      </c>
      <c r="J102" s="60">
        <v>45967</v>
      </c>
      <c r="K102" s="170">
        <v>2</v>
      </c>
      <c r="L102" s="128">
        <v>6</v>
      </c>
      <c r="M102" s="113"/>
      <c r="N102" s="113"/>
      <c r="O102" s="113"/>
      <c r="P102" s="113"/>
      <c r="Q102" s="113"/>
      <c r="R102" s="113"/>
      <c r="S102" s="113"/>
    </row>
    <row r="103" spans="1:19" ht="93" customHeight="1" x14ac:dyDescent="0.3">
      <c r="A103" s="24" t="s">
        <v>1080</v>
      </c>
      <c r="B103" s="27" t="s">
        <v>539</v>
      </c>
      <c r="C103" s="24" t="s">
        <v>1081</v>
      </c>
      <c r="D103" s="24" t="s">
        <v>1082</v>
      </c>
      <c r="E103" s="24" t="s">
        <v>1083</v>
      </c>
      <c r="F103" s="7" t="s">
        <v>1084</v>
      </c>
      <c r="G103" s="7" t="s">
        <v>1085</v>
      </c>
      <c r="H103" s="113" t="s">
        <v>1086</v>
      </c>
      <c r="I103" s="7" t="s">
        <v>1087</v>
      </c>
      <c r="J103" s="60">
        <v>45967</v>
      </c>
      <c r="K103" s="170">
        <v>1</v>
      </c>
      <c r="L103" s="128">
        <v>6</v>
      </c>
      <c r="M103" s="113"/>
      <c r="N103" s="113"/>
      <c r="O103" s="113"/>
      <c r="P103" s="113"/>
      <c r="Q103" s="113"/>
      <c r="R103" s="113"/>
      <c r="S103" s="113"/>
    </row>
    <row r="104" spans="1:19" ht="91.5" customHeight="1" x14ac:dyDescent="0.3">
      <c r="A104" s="24" t="s">
        <v>1088</v>
      </c>
      <c r="B104" s="27" t="s">
        <v>539</v>
      </c>
      <c r="C104" s="24" t="s">
        <v>1089</v>
      </c>
      <c r="D104" s="24" t="s">
        <v>1090</v>
      </c>
      <c r="E104" s="24" t="s">
        <v>1091</v>
      </c>
      <c r="F104" s="7" t="s">
        <v>1092</v>
      </c>
      <c r="G104" s="7" t="s">
        <v>1093</v>
      </c>
      <c r="H104" s="113" t="s">
        <v>1094</v>
      </c>
      <c r="I104" s="7" t="s">
        <v>1095</v>
      </c>
      <c r="J104" s="60">
        <v>45967</v>
      </c>
      <c r="K104" s="170"/>
      <c r="L104" s="128">
        <v>6</v>
      </c>
      <c r="M104" s="113"/>
      <c r="N104" s="113"/>
      <c r="O104" s="113"/>
      <c r="P104" s="113"/>
      <c r="Q104" s="113"/>
      <c r="R104" s="113"/>
      <c r="S104" s="113"/>
    </row>
    <row r="105" spans="1:19" ht="87" customHeight="1" x14ac:dyDescent="0.3">
      <c r="A105" s="24" t="s">
        <v>1096</v>
      </c>
      <c r="B105" s="25" t="s">
        <v>167</v>
      </c>
      <c r="C105" s="24" t="s">
        <v>3</v>
      </c>
      <c r="D105" s="24" t="s">
        <v>1097</v>
      </c>
      <c r="E105" s="24" t="s">
        <v>1098</v>
      </c>
      <c r="F105" s="7" t="s">
        <v>1099</v>
      </c>
      <c r="G105" s="7" t="s">
        <v>1100</v>
      </c>
      <c r="H105" s="113" t="s">
        <v>1101</v>
      </c>
      <c r="I105" s="7" t="s">
        <v>572</v>
      </c>
      <c r="J105" s="60">
        <v>45967</v>
      </c>
      <c r="K105" s="170">
        <v>4</v>
      </c>
      <c r="L105" s="72">
        <v>3</v>
      </c>
      <c r="M105" s="113"/>
      <c r="N105" s="113"/>
      <c r="O105" s="113"/>
      <c r="P105" s="113"/>
      <c r="Q105" s="113"/>
      <c r="R105" s="113"/>
      <c r="S105" s="113"/>
    </row>
    <row r="106" spans="1:19" ht="89.25" customHeight="1" x14ac:dyDescent="0.3">
      <c r="A106" s="24" t="s">
        <v>1102</v>
      </c>
      <c r="B106" s="25" t="s">
        <v>167</v>
      </c>
      <c r="C106" s="24" t="s">
        <v>1103</v>
      </c>
      <c r="D106" s="24" t="s">
        <v>1104</v>
      </c>
      <c r="E106" s="24" t="s">
        <v>1105</v>
      </c>
      <c r="F106" s="7" t="s">
        <v>1106</v>
      </c>
      <c r="G106" s="7" t="s">
        <v>1107</v>
      </c>
      <c r="H106" s="113" t="s">
        <v>1108</v>
      </c>
      <c r="I106" s="7" t="s">
        <v>1109</v>
      </c>
      <c r="J106" s="60">
        <v>45967</v>
      </c>
      <c r="K106" s="170">
        <v>4</v>
      </c>
      <c r="L106" s="72">
        <v>3</v>
      </c>
      <c r="M106" s="113"/>
      <c r="N106" s="113"/>
      <c r="O106" s="113"/>
      <c r="P106" s="113"/>
      <c r="Q106" s="113"/>
      <c r="R106" s="113"/>
      <c r="S106" s="113"/>
    </row>
    <row r="107" spans="1:19" ht="123.75" customHeight="1" x14ac:dyDescent="0.3">
      <c r="A107" s="24" t="s">
        <v>1110</v>
      </c>
      <c r="B107" s="26" t="s">
        <v>219</v>
      </c>
      <c r="C107" s="24" t="s">
        <v>465</v>
      </c>
      <c r="D107" s="24" t="s">
        <v>1111</v>
      </c>
      <c r="E107" s="24" t="s">
        <v>1112</v>
      </c>
      <c r="F107" s="7" t="s">
        <v>1113</v>
      </c>
      <c r="G107" s="7" t="s">
        <v>1114</v>
      </c>
      <c r="H107" s="113" t="s">
        <v>470</v>
      </c>
      <c r="I107" s="7" t="s">
        <v>1115</v>
      </c>
      <c r="J107" s="60">
        <v>45967</v>
      </c>
      <c r="K107" s="170">
        <v>2</v>
      </c>
      <c r="L107" s="127">
        <v>4</v>
      </c>
      <c r="M107" s="113"/>
      <c r="N107" s="113"/>
      <c r="O107" s="113"/>
      <c r="P107" s="113"/>
      <c r="Q107" s="113"/>
      <c r="R107" s="113"/>
      <c r="S107" s="113"/>
    </row>
    <row r="108" spans="1:19" ht="84.75" customHeight="1" x14ac:dyDescent="0.3">
      <c r="A108" s="24" t="s">
        <v>1116</v>
      </c>
      <c r="B108" s="26" t="s">
        <v>219</v>
      </c>
      <c r="C108" s="24" t="s">
        <v>1089</v>
      </c>
      <c r="D108" s="24" t="s">
        <v>1117</v>
      </c>
      <c r="E108" s="24" t="s">
        <v>1112</v>
      </c>
      <c r="F108" s="7" t="s">
        <v>1118</v>
      </c>
      <c r="G108" s="7" t="s">
        <v>1119</v>
      </c>
      <c r="H108" s="113" t="s">
        <v>1094</v>
      </c>
      <c r="I108" s="7" t="s">
        <v>1120</v>
      </c>
      <c r="J108" s="60">
        <v>45967</v>
      </c>
      <c r="K108" s="170">
        <v>2</v>
      </c>
      <c r="L108" s="127">
        <v>4</v>
      </c>
      <c r="M108" s="113"/>
      <c r="N108" s="113"/>
      <c r="O108" s="113"/>
      <c r="P108" s="113"/>
      <c r="Q108" s="113"/>
      <c r="R108" s="113"/>
      <c r="S108" s="113"/>
    </row>
    <row r="109" spans="1:19" ht="96.75" customHeight="1" x14ac:dyDescent="0.3">
      <c r="A109" s="24" t="s">
        <v>1121</v>
      </c>
      <c r="B109" s="23" t="s">
        <v>305</v>
      </c>
      <c r="C109" s="24" t="s">
        <v>284</v>
      </c>
      <c r="D109" s="24" t="s">
        <v>1122</v>
      </c>
      <c r="E109" s="24" t="s">
        <v>1112</v>
      </c>
      <c r="F109" s="7" t="s">
        <v>1123</v>
      </c>
      <c r="G109" s="7" t="s">
        <v>1124</v>
      </c>
      <c r="H109" s="113" t="s">
        <v>1078</v>
      </c>
      <c r="I109" s="7" t="s">
        <v>1125</v>
      </c>
      <c r="J109" s="60">
        <v>45967</v>
      </c>
      <c r="K109" s="170">
        <v>1</v>
      </c>
      <c r="L109" s="128">
        <v>6</v>
      </c>
      <c r="M109" s="113"/>
      <c r="N109" s="113"/>
      <c r="O109" s="113"/>
      <c r="P109" s="113"/>
      <c r="Q109" s="113"/>
      <c r="R109" s="113"/>
      <c r="S109" s="113"/>
    </row>
    <row r="110" spans="1:19" ht="92.25" customHeight="1" x14ac:dyDescent="0.3">
      <c r="A110" s="24" t="s">
        <v>1126</v>
      </c>
      <c r="B110" s="23" t="s">
        <v>305</v>
      </c>
      <c r="C110" s="24" t="s">
        <v>1127</v>
      </c>
      <c r="D110" s="24" t="s">
        <v>1128</v>
      </c>
      <c r="E110" s="24" t="s">
        <v>1129</v>
      </c>
      <c r="F110" s="7" t="s">
        <v>1130</v>
      </c>
      <c r="G110" s="7" t="s">
        <v>1131</v>
      </c>
      <c r="H110" s="113" t="s">
        <v>1132</v>
      </c>
      <c r="I110" s="7" t="s">
        <v>1133</v>
      </c>
      <c r="J110" s="60">
        <v>45967</v>
      </c>
      <c r="K110" s="170">
        <v>1</v>
      </c>
      <c r="L110" s="128">
        <v>6</v>
      </c>
      <c r="M110" s="113"/>
      <c r="N110" s="113"/>
      <c r="O110" s="113"/>
      <c r="P110" s="113"/>
      <c r="Q110" s="113"/>
      <c r="R110" s="113"/>
      <c r="S110" s="113"/>
    </row>
    <row r="111" spans="1:19" ht="79.5" customHeight="1" x14ac:dyDescent="0.3">
      <c r="A111" s="24" t="s">
        <v>1134</v>
      </c>
      <c r="B111" s="27" t="s">
        <v>539</v>
      </c>
      <c r="C111" s="24" t="s">
        <v>374</v>
      </c>
      <c r="D111" s="24" t="s">
        <v>1135</v>
      </c>
      <c r="E111" s="24" t="s">
        <v>1136</v>
      </c>
      <c r="F111" s="7" t="s">
        <v>1137</v>
      </c>
      <c r="G111" s="7" t="s">
        <v>1138</v>
      </c>
      <c r="H111" s="113" t="s">
        <v>1139</v>
      </c>
      <c r="I111" s="7" t="s">
        <v>1140</v>
      </c>
      <c r="J111" s="60">
        <v>45967</v>
      </c>
      <c r="K111" s="170">
        <v>1</v>
      </c>
      <c r="L111" s="128">
        <v>6</v>
      </c>
      <c r="M111" s="113"/>
      <c r="N111" s="113"/>
      <c r="O111" s="113"/>
      <c r="P111" s="113"/>
      <c r="Q111" s="113"/>
      <c r="R111" s="113"/>
      <c r="S111" s="113"/>
    </row>
    <row r="112" spans="1:19" ht="101.25" customHeight="1" x14ac:dyDescent="0.3">
      <c r="A112" s="24" t="s">
        <v>1141</v>
      </c>
      <c r="B112" s="27" t="s">
        <v>539</v>
      </c>
      <c r="C112" s="24" t="s">
        <v>284</v>
      </c>
      <c r="D112" s="24" t="s">
        <v>1142</v>
      </c>
      <c r="E112" s="24" t="s">
        <v>1112</v>
      </c>
      <c r="F112" s="7" t="s">
        <v>1143</v>
      </c>
      <c r="G112" s="7" t="s">
        <v>1144</v>
      </c>
      <c r="H112" s="8" t="s">
        <v>1145</v>
      </c>
      <c r="I112" s="7" t="s">
        <v>1146</v>
      </c>
      <c r="J112" s="60">
        <v>45967</v>
      </c>
      <c r="K112" s="170">
        <v>2</v>
      </c>
      <c r="L112" s="128">
        <v>6</v>
      </c>
      <c r="M112" s="8"/>
      <c r="N112" s="8"/>
      <c r="O112" s="8"/>
      <c r="P112" s="8"/>
      <c r="Q112" s="8"/>
      <c r="R112" s="8"/>
      <c r="S112" s="8"/>
    </row>
    <row r="113" spans="1:19" ht="110.25" customHeight="1" x14ac:dyDescent="0.3">
      <c r="A113" s="24" t="s">
        <v>1147</v>
      </c>
      <c r="B113" s="27" t="s">
        <v>539</v>
      </c>
      <c r="C113" s="24" t="s">
        <v>440</v>
      </c>
      <c r="D113" s="24" t="s">
        <v>1148</v>
      </c>
      <c r="E113" s="24" t="s">
        <v>1149</v>
      </c>
      <c r="F113" s="7" t="s">
        <v>1150</v>
      </c>
      <c r="G113" s="7" t="s">
        <v>1151</v>
      </c>
      <c r="H113" s="8" t="s">
        <v>564</v>
      </c>
      <c r="I113" s="7" t="s">
        <v>565</v>
      </c>
      <c r="J113" s="60">
        <v>45967</v>
      </c>
      <c r="K113" s="170">
        <v>2</v>
      </c>
      <c r="L113" s="128">
        <v>6</v>
      </c>
      <c r="M113" s="8"/>
      <c r="N113" s="8"/>
      <c r="O113" s="8"/>
      <c r="P113" s="8"/>
      <c r="Q113" s="8"/>
      <c r="R113" s="8"/>
      <c r="S113" s="8"/>
    </row>
    <row r="114" spans="1:19" ht="60.75" customHeight="1" x14ac:dyDescent="0.3">
      <c r="A114" s="24" t="s">
        <v>1152</v>
      </c>
      <c r="B114" s="27" t="s">
        <v>539</v>
      </c>
      <c r="C114" s="24" t="s">
        <v>1153</v>
      </c>
      <c r="D114" s="24" t="s">
        <v>1154</v>
      </c>
      <c r="E114" s="24" t="s">
        <v>1155</v>
      </c>
      <c r="F114" s="7" t="s">
        <v>1156</v>
      </c>
      <c r="G114" s="7" t="s">
        <v>1157</v>
      </c>
      <c r="H114" s="8" t="s">
        <v>1158</v>
      </c>
      <c r="I114" s="7" t="s">
        <v>1159</v>
      </c>
      <c r="J114" s="60">
        <v>45967</v>
      </c>
      <c r="K114" s="170">
        <v>2</v>
      </c>
      <c r="L114" s="128">
        <v>6</v>
      </c>
      <c r="M114" s="8"/>
      <c r="N114" s="8"/>
      <c r="O114" s="8"/>
      <c r="P114" s="8"/>
      <c r="Q114" s="8"/>
      <c r="R114" s="8"/>
      <c r="S114" s="8"/>
    </row>
    <row r="115" spans="1:19" ht="89.25" customHeight="1" x14ac:dyDescent="0.3">
      <c r="A115" s="24" t="s">
        <v>1160</v>
      </c>
      <c r="B115" s="27" t="s">
        <v>539</v>
      </c>
      <c r="C115" s="24" t="s">
        <v>473</v>
      </c>
      <c r="D115" s="24" t="s">
        <v>1161</v>
      </c>
      <c r="E115" s="24" t="s">
        <v>583</v>
      </c>
      <c r="F115" s="7" t="s">
        <v>1162</v>
      </c>
      <c r="G115" s="7" t="s">
        <v>1163</v>
      </c>
      <c r="H115" s="8" t="s">
        <v>1164</v>
      </c>
      <c r="I115" s="7" t="s">
        <v>1165</v>
      </c>
      <c r="J115" s="60">
        <v>45967</v>
      </c>
      <c r="K115" s="170">
        <v>1</v>
      </c>
      <c r="L115" s="128">
        <v>6</v>
      </c>
      <c r="M115" s="8"/>
      <c r="N115" s="8"/>
      <c r="O115" s="8"/>
      <c r="P115" s="8"/>
      <c r="Q115" s="8"/>
      <c r="R115" s="8"/>
      <c r="S115" s="8"/>
    </row>
    <row r="116" spans="1:19" ht="93.75" customHeight="1" x14ac:dyDescent="0.3">
      <c r="A116" s="24" t="s">
        <v>1166</v>
      </c>
      <c r="B116" s="27" t="s">
        <v>539</v>
      </c>
      <c r="C116" s="24" t="s">
        <v>199</v>
      </c>
      <c r="D116" s="24" t="s">
        <v>1167</v>
      </c>
      <c r="E116" s="24" t="s">
        <v>1168</v>
      </c>
      <c r="F116" s="7" t="s">
        <v>1169</v>
      </c>
      <c r="G116" s="7" t="s">
        <v>1170</v>
      </c>
      <c r="H116" s="8" t="s">
        <v>1171</v>
      </c>
      <c r="I116" s="7" t="s">
        <v>1172</v>
      </c>
      <c r="J116" s="60">
        <v>45967</v>
      </c>
      <c r="K116" s="170">
        <v>2</v>
      </c>
      <c r="L116" s="128">
        <v>6</v>
      </c>
      <c r="M116" s="8"/>
      <c r="N116" s="8"/>
      <c r="O116" s="8"/>
      <c r="P116" s="8"/>
      <c r="Q116" s="8"/>
      <c r="R116" s="8"/>
      <c r="S116" s="8"/>
    </row>
    <row r="117" spans="1:19" ht="86.4" x14ac:dyDescent="0.3">
      <c r="A117" s="24" t="s">
        <v>1173</v>
      </c>
      <c r="B117" s="27" t="s">
        <v>539</v>
      </c>
      <c r="C117" s="24" t="s">
        <v>293</v>
      </c>
      <c r="D117" s="24" t="s">
        <v>1174</v>
      </c>
      <c r="E117" s="24" t="s">
        <v>1175</v>
      </c>
      <c r="F117" s="7" t="s">
        <v>1176</v>
      </c>
      <c r="G117" s="7" t="s">
        <v>1177</v>
      </c>
      <c r="H117" s="8" t="s">
        <v>1178</v>
      </c>
      <c r="I117" s="7" t="s">
        <v>1179</v>
      </c>
      <c r="J117" s="60">
        <v>45967</v>
      </c>
      <c r="K117" s="170">
        <v>5</v>
      </c>
      <c r="L117" s="128">
        <v>6</v>
      </c>
      <c r="M117" s="8"/>
      <c r="N117" s="8"/>
      <c r="O117" s="8"/>
      <c r="P117" s="8"/>
      <c r="Q117" s="8"/>
      <c r="R117" s="8"/>
      <c r="S117" s="8"/>
    </row>
    <row r="118" spans="1:19" ht="109.5" customHeight="1" x14ac:dyDescent="0.3">
      <c r="A118" s="24" t="s">
        <v>1180</v>
      </c>
      <c r="B118" s="27" t="s">
        <v>539</v>
      </c>
      <c r="C118" s="24" t="s">
        <v>440</v>
      </c>
      <c r="D118" s="24" t="s">
        <v>1181</v>
      </c>
      <c r="E118" s="24" t="s">
        <v>1182</v>
      </c>
      <c r="F118" s="7" t="s">
        <v>1183</v>
      </c>
      <c r="G118" s="7" t="s">
        <v>1184</v>
      </c>
      <c r="H118" s="8" t="s">
        <v>1185</v>
      </c>
      <c r="I118" s="7" t="s">
        <v>1186</v>
      </c>
      <c r="J118" s="60">
        <v>45967</v>
      </c>
      <c r="K118" s="170">
        <v>2</v>
      </c>
      <c r="L118" s="128">
        <v>6</v>
      </c>
      <c r="M118" s="8"/>
      <c r="N118" s="8"/>
      <c r="O118" s="8"/>
      <c r="P118" s="8"/>
      <c r="Q118" s="8"/>
      <c r="R118" s="8"/>
      <c r="S118" s="8"/>
    </row>
    <row r="119" spans="1:19" ht="105.75" customHeight="1" x14ac:dyDescent="0.3">
      <c r="A119" s="24" t="s">
        <v>1187</v>
      </c>
      <c r="B119" s="27" t="s">
        <v>539</v>
      </c>
      <c r="C119" s="24" t="s">
        <v>465</v>
      </c>
      <c r="D119" s="24" t="s">
        <v>1188</v>
      </c>
      <c r="E119" s="24" t="s">
        <v>583</v>
      </c>
      <c r="F119" s="7" t="s">
        <v>1189</v>
      </c>
      <c r="G119" s="7" t="s">
        <v>1190</v>
      </c>
      <c r="H119" s="8" t="s">
        <v>863</v>
      </c>
      <c r="I119" s="7" t="s">
        <v>1191</v>
      </c>
      <c r="J119" s="60">
        <v>45967</v>
      </c>
      <c r="K119" s="170">
        <v>2</v>
      </c>
      <c r="L119" s="128">
        <v>6</v>
      </c>
      <c r="M119" s="8"/>
      <c r="N119" s="8"/>
      <c r="O119" s="8"/>
      <c r="P119" s="8"/>
      <c r="Q119" s="8"/>
      <c r="R119" s="8"/>
      <c r="S119" s="8"/>
    </row>
    <row r="120" spans="1:19" ht="108" customHeight="1" x14ac:dyDescent="0.3">
      <c r="A120" s="24" t="s">
        <v>1192</v>
      </c>
      <c r="B120" s="27" t="s">
        <v>539</v>
      </c>
      <c r="C120" s="24" t="s">
        <v>1153</v>
      </c>
      <c r="D120" s="24" t="s">
        <v>1193</v>
      </c>
      <c r="E120" s="24" t="s">
        <v>1194</v>
      </c>
      <c r="F120" s="7" t="s">
        <v>1195</v>
      </c>
      <c r="G120" s="7" t="s">
        <v>1196</v>
      </c>
      <c r="H120" s="8" t="s">
        <v>1197</v>
      </c>
      <c r="I120" s="7" t="s">
        <v>1198</v>
      </c>
      <c r="J120" s="60">
        <v>45967</v>
      </c>
      <c r="K120" s="170">
        <v>1</v>
      </c>
      <c r="L120" s="128">
        <v>6</v>
      </c>
      <c r="M120" s="8"/>
      <c r="N120" s="8"/>
      <c r="O120" s="8"/>
      <c r="P120" s="8"/>
      <c r="Q120" s="8"/>
      <c r="R120" s="8"/>
      <c r="S120" s="8"/>
    </row>
    <row r="121" spans="1:19" ht="72" x14ac:dyDescent="0.3">
      <c r="A121" s="24" t="s">
        <v>1199</v>
      </c>
      <c r="B121" s="27" t="s">
        <v>539</v>
      </c>
      <c r="C121" s="24" t="s">
        <v>199</v>
      </c>
      <c r="D121" s="24" t="s">
        <v>1200</v>
      </c>
      <c r="E121" s="24" t="s">
        <v>1168</v>
      </c>
      <c r="F121" s="7" t="s">
        <v>1201</v>
      </c>
      <c r="G121" s="7" t="s">
        <v>1202</v>
      </c>
      <c r="H121" s="8" t="s">
        <v>1203</v>
      </c>
      <c r="I121" s="7" t="s">
        <v>1204</v>
      </c>
      <c r="J121" s="60">
        <v>45967</v>
      </c>
      <c r="K121" s="170">
        <v>1</v>
      </c>
      <c r="L121" s="128">
        <v>6</v>
      </c>
      <c r="M121" s="8"/>
      <c r="N121" s="8"/>
      <c r="O121" s="8"/>
      <c r="P121" s="8"/>
      <c r="Q121" s="8"/>
      <c r="R121" s="8"/>
      <c r="S121" s="8"/>
    </row>
  </sheetData>
  <autoFilter ref="A2:S2" xr:uid="{169A2492-DCC0-4FEF-B8F7-BADC84E801D5}"/>
  <mergeCells count="3">
    <mergeCell ref="M1:P1"/>
    <mergeCell ref="Q1:R1"/>
    <mergeCell ref="A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DDD5-8EFD-4A03-AF90-DFD40C2C570D}">
  <sheetPr filterMode="1"/>
  <dimension ref="A1:T194"/>
  <sheetViews>
    <sheetView workbookViewId="0">
      <pane xSplit="4" topLeftCell="J1" activePane="topRight" state="frozen"/>
      <selection pane="topRight" activeCell="K3" sqref="K3"/>
    </sheetView>
  </sheetViews>
  <sheetFormatPr defaultColWidth="9.109375" defaultRowHeight="14.4" x14ac:dyDescent="0.3"/>
  <cols>
    <col min="1" max="1" width="13.6640625" style="61" customWidth="1"/>
    <col min="2" max="2" width="10.44140625" style="61" customWidth="1"/>
    <col min="3" max="3" width="18.33203125" style="61" customWidth="1"/>
    <col min="4" max="4" width="29.88671875" style="61" customWidth="1"/>
    <col min="5" max="5" width="39.33203125" style="61" customWidth="1"/>
    <col min="6" max="6" width="40.44140625" style="61" customWidth="1"/>
    <col min="7" max="7" width="46.6640625" style="61" customWidth="1"/>
    <col min="8" max="8" width="56.5546875" style="1" customWidth="1"/>
    <col min="9" max="9" width="35.33203125" style="1" customWidth="1"/>
    <col min="10" max="10" width="12.5546875" style="61" customWidth="1"/>
    <col min="11" max="11" width="19.109375" style="61" bestFit="1" customWidth="1"/>
    <col min="12" max="12" width="12.5546875" style="61" customWidth="1"/>
    <col min="13" max="13" width="40.109375" style="61" customWidth="1"/>
    <col min="14" max="14" width="23.109375" style="61" customWidth="1"/>
    <col min="15" max="15" width="21.6640625" style="61" customWidth="1"/>
    <col min="16" max="16" width="21" style="61" customWidth="1"/>
    <col min="17" max="17" width="20.109375" style="61" customWidth="1"/>
    <col min="18" max="18" width="19" style="61" customWidth="1"/>
    <col min="19" max="19" width="25" style="61" customWidth="1"/>
    <col min="20" max="16384" width="9.109375" style="61"/>
  </cols>
  <sheetData>
    <row r="1" spans="1:20" ht="54.75" customHeight="1" x14ac:dyDescent="0.3">
      <c r="A1" s="277" t="s">
        <v>152</v>
      </c>
      <c r="B1" s="278"/>
      <c r="C1" s="278"/>
      <c r="D1" s="278"/>
      <c r="E1" s="278"/>
      <c r="F1" s="278"/>
      <c r="G1" s="278"/>
      <c r="H1" s="278"/>
      <c r="I1" s="278"/>
      <c r="J1" s="278"/>
      <c r="K1" s="278"/>
      <c r="L1" s="279"/>
      <c r="M1" s="280" t="s">
        <v>153</v>
      </c>
      <c r="N1" s="281"/>
      <c r="O1" s="281"/>
      <c r="P1" s="281"/>
      <c r="Q1" s="282" t="s">
        <v>152</v>
      </c>
      <c r="R1" s="282"/>
      <c r="S1" s="72"/>
    </row>
    <row r="2" spans="1:20" ht="18" x14ac:dyDescent="0.3">
      <c r="A2" s="73" t="s">
        <v>60</v>
      </c>
      <c r="B2" s="134" t="s">
        <v>154</v>
      </c>
      <c r="C2" s="73" t="s">
        <v>1</v>
      </c>
      <c r="D2" s="73" t="s">
        <v>61</v>
      </c>
      <c r="E2" s="73" t="s">
        <v>155</v>
      </c>
      <c r="F2" s="73" t="s">
        <v>25</v>
      </c>
      <c r="G2" s="73" t="s">
        <v>156</v>
      </c>
      <c r="H2" s="73" t="s">
        <v>165</v>
      </c>
      <c r="I2" s="134" t="s">
        <v>437</v>
      </c>
      <c r="J2" s="73" t="s">
        <v>159</v>
      </c>
      <c r="K2" s="73" t="s">
        <v>438</v>
      </c>
      <c r="L2" s="73" t="s">
        <v>23</v>
      </c>
      <c r="M2" s="74" t="s">
        <v>160</v>
      </c>
      <c r="N2" s="75" t="s">
        <v>161</v>
      </c>
      <c r="O2" s="75" t="s">
        <v>162</v>
      </c>
      <c r="P2" s="75" t="s">
        <v>163</v>
      </c>
      <c r="Q2" s="76" t="s">
        <v>164</v>
      </c>
      <c r="R2" s="76" t="s">
        <v>163</v>
      </c>
      <c r="S2" s="75" t="s">
        <v>166</v>
      </c>
    </row>
    <row r="3" spans="1:20" s="88" customFormat="1" ht="114.75" customHeight="1" x14ac:dyDescent="0.3">
      <c r="A3" s="78" t="s">
        <v>1205</v>
      </c>
      <c r="B3" s="130" t="s">
        <v>167</v>
      </c>
      <c r="C3" s="140" t="s">
        <v>1206</v>
      </c>
      <c r="D3" s="129" t="s">
        <v>1207</v>
      </c>
      <c r="E3" s="153" t="s">
        <v>1208</v>
      </c>
      <c r="F3" s="129" t="s">
        <v>1209</v>
      </c>
      <c r="G3" s="129" t="s">
        <v>1210</v>
      </c>
      <c r="H3" s="129" t="s">
        <v>1211</v>
      </c>
      <c r="I3" s="140" t="s">
        <v>1212</v>
      </c>
      <c r="J3" s="79">
        <v>45970</v>
      </c>
      <c r="K3" s="79"/>
      <c r="L3" s="77">
        <v>5</v>
      </c>
      <c r="M3" s="80"/>
      <c r="N3" s="80"/>
      <c r="O3" s="80"/>
      <c r="P3" s="80"/>
      <c r="Q3" s="80"/>
      <c r="R3" s="80"/>
      <c r="S3" s="80"/>
      <c r="T3" s="117"/>
    </row>
    <row r="4" spans="1:20" s="88" customFormat="1" ht="57.6" x14ac:dyDescent="0.3">
      <c r="A4" s="78" t="s">
        <v>1213</v>
      </c>
      <c r="B4" s="131" t="s">
        <v>219</v>
      </c>
      <c r="C4" s="140" t="s">
        <v>1214</v>
      </c>
      <c r="D4" s="129" t="s">
        <v>1215</v>
      </c>
      <c r="E4" s="154" t="s">
        <v>1216</v>
      </c>
      <c r="F4" s="129" t="s">
        <v>1217</v>
      </c>
      <c r="G4" s="129" t="s">
        <v>1218</v>
      </c>
      <c r="H4" s="129" t="s">
        <v>1219</v>
      </c>
      <c r="I4" s="129" t="s">
        <v>1220</v>
      </c>
      <c r="J4" s="79">
        <v>45970</v>
      </c>
      <c r="K4" s="79"/>
      <c r="L4" s="77">
        <v>5</v>
      </c>
      <c r="M4" s="80"/>
      <c r="N4" s="80"/>
      <c r="O4" s="80"/>
      <c r="P4" s="80"/>
      <c r="Q4" s="80"/>
      <c r="R4" s="80"/>
      <c r="S4" s="80"/>
      <c r="T4" s="117"/>
    </row>
    <row r="5" spans="1:20" s="88" customFormat="1" ht="88.5" customHeight="1" x14ac:dyDescent="0.3">
      <c r="A5" s="78" t="s">
        <v>1221</v>
      </c>
      <c r="B5" s="131" t="s">
        <v>219</v>
      </c>
      <c r="C5" s="140" t="s">
        <v>1222</v>
      </c>
      <c r="D5" s="129" t="s">
        <v>1223</v>
      </c>
      <c r="E5" s="129" t="s">
        <v>1224</v>
      </c>
      <c r="F5" s="129" t="s">
        <v>1225</v>
      </c>
      <c r="G5" s="129" t="s">
        <v>1226</v>
      </c>
      <c r="H5" s="129" t="s">
        <v>1227</v>
      </c>
      <c r="I5" s="129" t="s">
        <v>1228</v>
      </c>
      <c r="J5" s="79">
        <v>45970</v>
      </c>
      <c r="K5" s="79"/>
      <c r="L5" s="77">
        <v>5</v>
      </c>
      <c r="M5" s="80"/>
      <c r="N5" s="80"/>
      <c r="O5" s="80"/>
      <c r="P5" s="80"/>
      <c r="Q5" s="80"/>
      <c r="R5" s="80"/>
      <c r="S5" s="80"/>
      <c r="T5" s="117"/>
    </row>
    <row r="6" spans="1:20" s="88" customFormat="1" ht="28.8" x14ac:dyDescent="0.3">
      <c r="A6" s="78" t="s">
        <v>1229</v>
      </c>
      <c r="B6" s="131" t="s">
        <v>219</v>
      </c>
      <c r="C6" s="140" t="s">
        <v>1230</v>
      </c>
      <c r="D6" s="129" t="s">
        <v>1231</v>
      </c>
      <c r="E6" s="153" t="s">
        <v>1216</v>
      </c>
      <c r="F6" s="129" t="s">
        <v>1232</v>
      </c>
      <c r="G6" s="129" t="s">
        <v>1233</v>
      </c>
      <c r="H6" s="117" t="s">
        <v>1234</v>
      </c>
      <c r="I6" s="140" t="s">
        <v>1235</v>
      </c>
      <c r="J6" s="79">
        <v>45970</v>
      </c>
      <c r="K6" s="79"/>
      <c r="L6" s="77">
        <v>5</v>
      </c>
      <c r="M6" s="80"/>
      <c r="N6" s="80"/>
      <c r="O6" s="80"/>
      <c r="P6" s="80"/>
      <c r="Q6" s="80"/>
      <c r="R6" s="80"/>
      <c r="S6" s="80"/>
      <c r="T6" s="117"/>
    </row>
    <row r="7" spans="1:20" s="88" customFormat="1" ht="28.8" x14ac:dyDescent="0.3">
      <c r="A7" s="78" t="s">
        <v>1236</v>
      </c>
      <c r="B7" s="131" t="s">
        <v>219</v>
      </c>
      <c r="C7" s="140" t="s">
        <v>1237</v>
      </c>
      <c r="D7" s="129" t="s">
        <v>1238</v>
      </c>
      <c r="E7" s="153" t="s">
        <v>1216</v>
      </c>
      <c r="F7" s="129" t="s">
        <v>1239</v>
      </c>
      <c r="G7" s="129" t="s">
        <v>1240</v>
      </c>
      <c r="H7" s="156" t="s">
        <v>1241</v>
      </c>
      <c r="I7" s="140" t="s">
        <v>1242</v>
      </c>
      <c r="J7" s="79">
        <v>45970</v>
      </c>
      <c r="K7" s="79"/>
      <c r="L7" s="77">
        <v>5</v>
      </c>
      <c r="M7" s="80"/>
      <c r="N7" s="80"/>
      <c r="O7" s="80"/>
      <c r="P7" s="80"/>
      <c r="Q7" s="80"/>
      <c r="R7" s="80"/>
      <c r="S7" s="80"/>
      <c r="T7" s="117"/>
    </row>
    <row r="8" spans="1:20" s="88" customFormat="1" ht="28.8" x14ac:dyDescent="0.3">
      <c r="A8" s="78" t="s">
        <v>1243</v>
      </c>
      <c r="B8" s="131" t="s">
        <v>219</v>
      </c>
      <c r="C8" s="140" t="s">
        <v>1244</v>
      </c>
      <c r="D8" s="129" t="s">
        <v>1245</v>
      </c>
      <c r="E8" s="153" t="s">
        <v>1208</v>
      </c>
      <c r="F8" s="129" t="s">
        <v>1246</v>
      </c>
      <c r="G8" s="129" t="s">
        <v>1247</v>
      </c>
      <c r="H8" s="155" t="s">
        <v>1248</v>
      </c>
      <c r="I8" s="140" t="s">
        <v>1249</v>
      </c>
      <c r="J8" s="79">
        <v>45970</v>
      </c>
      <c r="K8" s="79"/>
      <c r="L8" s="77">
        <v>5</v>
      </c>
      <c r="M8" s="80"/>
      <c r="N8" s="80"/>
      <c r="O8" s="80"/>
      <c r="P8" s="80"/>
      <c r="Q8" s="80"/>
      <c r="R8" s="80"/>
      <c r="S8" s="80"/>
      <c r="T8" s="117"/>
    </row>
    <row r="9" spans="1:20" s="88" customFormat="1" ht="28.8" x14ac:dyDescent="0.3">
      <c r="A9" s="78" t="s">
        <v>1250</v>
      </c>
      <c r="B9" s="131" t="s">
        <v>219</v>
      </c>
      <c r="C9" s="140" t="s">
        <v>1206</v>
      </c>
      <c r="D9" s="129" t="s">
        <v>1251</v>
      </c>
      <c r="E9" s="154" t="s">
        <v>1252</v>
      </c>
      <c r="F9" s="129" t="s">
        <v>1253</v>
      </c>
      <c r="G9" s="129" t="s">
        <v>1254</v>
      </c>
      <c r="H9" s="155" t="s">
        <v>1255</v>
      </c>
      <c r="I9" s="140" t="s">
        <v>1212</v>
      </c>
      <c r="J9" s="79">
        <v>45970</v>
      </c>
      <c r="K9" s="79"/>
      <c r="L9" s="77">
        <v>5</v>
      </c>
      <c r="M9" s="80"/>
      <c r="N9" s="80"/>
      <c r="O9" s="80"/>
      <c r="P9" s="80"/>
      <c r="Q9" s="80"/>
      <c r="R9" s="80"/>
      <c r="S9" s="80"/>
      <c r="T9" s="117"/>
    </row>
    <row r="10" spans="1:20" s="88" customFormat="1" ht="28.8" x14ac:dyDescent="0.3">
      <c r="A10" s="78" t="s">
        <v>1256</v>
      </c>
      <c r="B10" s="131" t="s">
        <v>219</v>
      </c>
      <c r="C10" s="140" t="s">
        <v>1257</v>
      </c>
      <c r="D10" s="129" t="s">
        <v>1258</v>
      </c>
      <c r="E10" s="153" t="s">
        <v>1208</v>
      </c>
      <c r="F10" s="129" t="s">
        <v>1259</v>
      </c>
      <c r="G10" s="129" t="s">
        <v>1260</v>
      </c>
      <c r="H10" s="155" t="s">
        <v>1261</v>
      </c>
      <c r="I10" s="140" t="s">
        <v>1262</v>
      </c>
      <c r="J10" s="79">
        <v>45970</v>
      </c>
      <c r="K10" s="79"/>
      <c r="L10" s="77">
        <v>5</v>
      </c>
      <c r="M10" s="80"/>
      <c r="N10" s="80"/>
      <c r="O10" s="80"/>
      <c r="P10" s="80"/>
      <c r="Q10" s="80"/>
      <c r="R10" s="80"/>
      <c r="S10" s="80"/>
      <c r="T10" s="117"/>
    </row>
    <row r="11" spans="1:20" s="88" customFormat="1" ht="72" hidden="1" x14ac:dyDescent="0.3">
      <c r="A11" s="78" t="s">
        <v>1263</v>
      </c>
      <c r="B11" s="132" t="s">
        <v>305</v>
      </c>
      <c r="C11" s="140" t="s">
        <v>1264</v>
      </c>
      <c r="D11" s="129" t="s">
        <v>1265</v>
      </c>
      <c r="E11" s="154" t="s">
        <v>1266</v>
      </c>
      <c r="F11" s="129" t="s">
        <v>1267</v>
      </c>
      <c r="G11" s="129" t="s">
        <v>1268</v>
      </c>
      <c r="H11" s="129" t="s">
        <v>1269</v>
      </c>
      <c r="I11" s="129" t="s">
        <v>1270</v>
      </c>
      <c r="J11" s="79">
        <v>45970</v>
      </c>
      <c r="K11" s="79"/>
      <c r="L11" s="79"/>
      <c r="M11" s="80"/>
      <c r="N11" s="80"/>
      <c r="O11" s="80"/>
      <c r="P11" s="80"/>
      <c r="Q11" s="80"/>
      <c r="R11" s="80"/>
      <c r="S11" s="80"/>
      <c r="T11" s="117"/>
    </row>
    <row r="12" spans="1:20" s="88" customFormat="1" ht="57.6" hidden="1" x14ac:dyDescent="0.3">
      <c r="A12" s="78" t="s">
        <v>1271</v>
      </c>
      <c r="B12" s="132" t="s">
        <v>305</v>
      </c>
      <c r="C12" s="140" t="s">
        <v>1264</v>
      </c>
      <c r="D12" s="129" t="s">
        <v>1272</v>
      </c>
      <c r="E12" s="129" t="s">
        <v>1273</v>
      </c>
      <c r="F12" s="129" t="s">
        <v>1274</v>
      </c>
      <c r="G12" s="129" t="s">
        <v>1275</v>
      </c>
      <c r="H12" s="129" t="s">
        <v>1276</v>
      </c>
      <c r="I12" s="129" t="s">
        <v>1277</v>
      </c>
      <c r="J12" s="79">
        <v>45970</v>
      </c>
      <c r="K12" s="79"/>
      <c r="L12" s="79"/>
      <c r="M12" s="80"/>
      <c r="N12" s="80"/>
      <c r="O12" s="80"/>
      <c r="P12" s="80"/>
      <c r="Q12" s="80"/>
      <c r="R12" s="80"/>
      <c r="S12" s="80"/>
      <c r="T12" s="117"/>
    </row>
    <row r="13" spans="1:20" s="88" customFormat="1" ht="28.8" x14ac:dyDescent="0.3">
      <c r="A13" s="78" t="s">
        <v>1278</v>
      </c>
      <c r="B13" s="132" t="s">
        <v>305</v>
      </c>
      <c r="C13" s="140" t="s">
        <v>1257</v>
      </c>
      <c r="D13" s="129" t="s">
        <v>1279</v>
      </c>
      <c r="E13" s="153" t="s">
        <v>1266</v>
      </c>
      <c r="F13" s="129" t="s">
        <v>1280</v>
      </c>
      <c r="G13" s="129" t="s">
        <v>1281</v>
      </c>
      <c r="H13" s="156" t="s">
        <v>1261</v>
      </c>
      <c r="I13" s="140" t="s">
        <v>1262</v>
      </c>
      <c r="J13" s="79">
        <v>45970</v>
      </c>
      <c r="K13" s="79"/>
      <c r="L13" s="77">
        <v>7</v>
      </c>
      <c r="M13" s="80"/>
      <c r="N13" s="80"/>
      <c r="O13" s="80"/>
      <c r="P13" s="80"/>
      <c r="Q13" s="80"/>
      <c r="R13" s="80"/>
      <c r="S13" s="80"/>
      <c r="T13" s="117"/>
    </row>
    <row r="14" spans="1:20" s="88" customFormat="1" ht="62.25" customHeight="1" x14ac:dyDescent="0.3">
      <c r="A14" s="78" t="s">
        <v>1282</v>
      </c>
      <c r="B14" s="132" t="s">
        <v>305</v>
      </c>
      <c r="C14" s="140" t="s">
        <v>1283</v>
      </c>
      <c r="D14" s="129" t="s">
        <v>1284</v>
      </c>
      <c r="E14" s="153" t="s">
        <v>1266</v>
      </c>
      <c r="F14" s="129" t="s">
        <v>1285</v>
      </c>
      <c r="G14" s="129" t="s">
        <v>1286</v>
      </c>
      <c r="H14" s="155" t="s">
        <v>1287</v>
      </c>
      <c r="I14" s="140" t="s">
        <v>1288</v>
      </c>
      <c r="J14" s="79">
        <v>45970</v>
      </c>
      <c r="K14" s="79"/>
      <c r="L14" s="77">
        <v>7</v>
      </c>
      <c r="M14" s="80"/>
      <c r="N14" s="80"/>
      <c r="O14" s="80"/>
      <c r="P14" s="80"/>
      <c r="Q14" s="80"/>
      <c r="R14" s="80"/>
      <c r="S14" s="80"/>
      <c r="T14" s="117"/>
    </row>
    <row r="15" spans="1:20" s="88" customFormat="1" ht="28.8" x14ac:dyDescent="0.3">
      <c r="A15" s="78" t="s">
        <v>1289</v>
      </c>
      <c r="B15" s="132" t="s">
        <v>305</v>
      </c>
      <c r="C15" s="140" t="s">
        <v>1230</v>
      </c>
      <c r="D15" s="129" t="s">
        <v>1290</v>
      </c>
      <c r="E15" s="153" t="s">
        <v>1291</v>
      </c>
      <c r="F15" s="129" t="s">
        <v>1292</v>
      </c>
      <c r="G15" s="129" t="s">
        <v>1293</v>
      </c>
      <c r="H15" s="155" t="s">
        <v>1294</v>
      </c>
      <c r="I15" s="140" t="s">
        <v>1235</v>
      </c>
      <c r="J15" s="79">
        <v>45970</v>
      </c>
      <c r="K15" s="79"/>
      <c r="L15" s="77">
        <v>7</v>
      </c>
      <c r="M15" s="80"/>
      <c r="N15" s="80"/>
      <c r="O15" s="80"/>
      <c r="P15" s="80"/>
      <c r="Q15" s="80"/>
      <c r="R15" s="80"/>
      <c r="S15" s="80"/>
      <c r="T15" s="117"/>
    </row>
    <row r="16" spans="1:20" s="88" customFormat="1" ht="28.8" x14ac:dyDescent="0.3">
      <c r="A16" s="78" t="s">
        <v>1295</v>
      </c>
      <c r="B16" s="132" t="s">
        <v>305</v>
      </c>
      <c r="C16" s="140" t="s">
        <v>1237</v>
      </c>
      <c r="D16" s="129" t="s">
        <v>1296</v>
      </c>
      <c r="E16" s="154" t="s">
        <v>1208</v>
      </c>
      <c r="F16" s="129" t="s">
        <v>1297</v>
      </c>
      <c r="G16" s="129" t="s">
        <v>1298</v>
      </c>
      <c r="H16" s="155" t="s">
        <v>1241</v>
      </c>
      <c r="I16" s="140" t="s">
        <v>1242</v>
      </c>
      <c r="J16" s="79">
        <v>45970</v>
      </c>
      <c r="K16" s="79"/>
      <c r="L16" s="77">
        <v>7</v>
      </c>
      <c r="M16" s="80"/>
      <c r="N16" s="80"/>
      <c r="O16" s="80"/>
      <c r="P16" s="80"/>
      <c r="Q16" s="80"/>
      <c r="R16" s="80"/>
      <c r="S16" s="80"/>
      <c r="T16" s="117"/>
    </row>
    <row r="17" spans="1:20" s="88" customFormat="1" ht="28.8" x14ac:dyDescent="0.3">
      <c r="A17" s="78" t="s">
        <v>1299</v>
      </c>
      <c r="B17" s="132" t="s">
        <v>305</v>
      </c>
      <c r="C17" s="140" t="s">
        <v>1300</v>
      </c>
      <c r="D17" s="129" t="s">
        <v>1301</v>
      </c>
      <c r="E17" s="154" t="s">
        <v>1302</v>
      </c>
      <c r="F17" s="129" t="s">
        <v>1303</v>
      </c>
      <c r="G17" s="129" t="s">
        <v>1304</v>
      </c>
      <c r="H17" s="155" t="s">
        <v>1287</v>
      </c>
      <c r="I17" s="140" t="s">
        <v>1288</v>
      </c>
      <c r="J17" s="79">
        <v>45970</v>
      </c>
      <c r="K17" s="79"/>
      <c r="L17" s="77">
        <v>7</v>
      </c>
      <c r="M17" s="80"/>
      <c r="N17" s="80"/>
      <c r="O17" s="80"/>
      <c r="P17" s="80"/>
      <c r="Q17" s="80"/>
      <c r="R17" s="80"/>
      <c r="S17" s="80"/>
      <c r="T17" s="117"/>
    </row>
    <row r="18" spans="1:20" s="88" customFormat="1" ht="28.8" x14ac:dyDescent="0.3">
      <c r="A18" s="78" t="s">
        <v>1305</v>
      </c>
      <c r="B18" s="132" t="s">
        <v>305</v>
      </c>
      <c r="C18" s="140" t="s">
        <v>1206</v>
      </c>
      <c r="D18" s="129" t="s">
        <v>1306</v>
      </c>
      <c r="E18" s="153" t="s">
        <v>1208</v>
      </c>
      <c r="F18" s="129" t="s">
        <v>1307</v>
      </c>
      <c r="G18" s="129" t="s">
        <v>1308</v>
      </c>
      <c r="H18" s="155" t="s">
        <v>1255</v>
      </c>
      <c r="I18" s="140" t="s">
        <v>1212</v>
      </c>
      <c r="J18" s="79">
        <v>45970</v>
      </c>
      <c r="K18" s="79"/>
      <c r="L18" s="77">
        <v>7</v>
      </c>
      <c r="M18" s="80"/>
      <c r="N18" s="80"/>
      <c r="O18" s="80"/>
      <c r="P18" s="80"/>
      <c r="Q18" s="80"/>
      <c r="R18" s="80"/>
      <c r="S18" s="80"/>
      <c r="T18" s="117"/>
    </row>
    <row r="19" spans="1:20" s="88" customFormat="1" ht="28.8" x14ac:dyDescent="0.3">
      <c r="A19" s="78" t="s">
        <v>1309</v>
      </c>
      <c r="B19" s="132" t="s">
        <v>305</v>
      </c>
      <c r="C19" s="140" t="s">
        <v>1244</v>
      </c>
      <c r="D19" s="129" t="s">
        <v>1310</v>
      </c>
      <c r="E19" s="153" t="s">
        <v>1208</v>
      </c>
      <c r="F19" s="129" t="s">
        <v>1311</v>
      </c>
      <c r="G19" s="129" t="s">
        <v>1312</v>
      </c>
      <c r="H19" s="155" t="s">
        <v>1248</v>
      </c>
      <c r="I19" s="140" t="s">
        <v>1249</v>
      </c>
      <c r="J19" s="79">
        <v>45970</v>
      </c>
      <c r="K19" s="79"/>
      <c r="L19" s="77">
        <v>7</v>
      </c>
      <c r="M19" s="80"/>
      <c r="N19" s="80"/>
      <c r="O19" s="80"/>
      <c r="P19" s="80"/>
      <c r="Q19" s="80"/>
      <c r="R19" s="80"/>
      <c r="S19" s="80"/>
      <c r="T19" s="117"/>
    </row>
    <row r="20" spans="1:20" s="88" customFormat="1" ht="43.2" hidden="1" x14ac:dyDescent="0.3">
      <c r="A20" s="78" t="s">
        <v>1313</v>
      </c>
      <c r="B20" s="133" t="s">
        <v>539</v>
      </c>
      <c r="C20" s="140" t="s">
        <v>1314</v>
      </c>
      <c r="D20" s="129" t="s">
        <v>1315</v>
      </c>
      <c r="E20" s="129" t="s">
        <v>1316</v>
      </c>
      <c r="F20" s="129" t="s">
        <v>1317</v>
      </c>
      <c r="G20" s="129" t="s">
        <v>1318</v>
      </c>
      <c r="H20" s="154" t="s">
        <v>1287</v>
      </c>
      <c r="I20" s="129" t="s">
        <v>1319</v>
      </c>
      <c r="J20" s="79">
        <v>45970</v>
      </c>
      <c r="K20" s="79"/>
      <c r="L20" s="79"/>
      <c r="M20" s="80"/>
      <c r="N20" s="80"/>
      <c r="O20" s="80"/>
      <c r="P20" s="80"/>
      <c r="Q20" s="80"/>
      <c r="R20" s="80"/>
      <c r="S20" s="80"/>
      <c r="T20" s="117"/>
    </row>
    <row r="21" spans="1:20" s="88" customFormat="1" ht="57.6" hidden="1" x14ac:dyDescent="0.3">
      <c r="A21" s="78" t="s">
        <v>1320</v>
      </c>
      <c r="B21" s="133" t="s">
        <v>539</v>
      </c>
      <c r="C21" s="140" t="s">
        <v>1314</v>
      </c>
      <c r="D21" s="129" t="s">
        <v>1321</v>
      </c>
      <c r="E21" s="129" t="s">
        <v>1322</v>
      </c>
      <c r="F21" s="129" t="s">
        <v>1323</v>
      </c>
      <c r="G21" s="129" t="s">
        <v>1324</v>
      </c>
      <c r="H21" s="129" t="s">
        <v>1325</v>
      </c>
      <c r="I21" s="129" t="s">
        <v>1326</v>
      </c>
      <c r="J21" s="79">
        <v>45970</v>
      </c>
      <c r="K21" s="79"/>
      <c r="L21" s="79"/>
      <c r="M21" s="80"/>
      <c r="N21" s="80"/>
      <c r="O21" s="80"/>
      <c r="P21" s="80"/>
      <c r="Q21" s="80"/>
      <c r="R21" s="80"/>
      <c r="S21" s="80"/>
      <c r="T21" s="117"/>
    </row>
    <row r="22" spans="1:20" s="88" customFormat="1" ht="43.2" hidden="1" x14ac:dyDescent="0.3">
      <c r="A22" s="78" t="s">
        <v>1327</v>
      </c>
      <c r="B22" s="133" t="s">
        <v>539</v>
      </c>
      <c r="C22" s="140" t="s">
        <v>1222</v>
      </c>
      <c r="D22" s="129" t="s">
        <v>1328</v>
      </c>
      <c r="E22" s="129" t="s">
        <v>1329</v>
      </c>
      <c r="F22" s="129" t="s">
        <v>1330</v>
      </c>
      <c r="G22" s="129" t="s">
        <v>1331</v>
      </c>
      <c r="H22" s="129" t="s">
        <v>1332</v>
      </c>
      <c r="I22" s="129" t="s">
        <v>1333</v>
      </c>
      <c r="J22" s="79">
        <v>45970</v>
      </c>
      <c r="K22" s="79"/>
      <c r="L22" s="79"/>
      <c r="M22" s="80"/>
      <c r="N22" s="80"/>
      <c r="O22" s="80"/>
      <c r="P22" s="80"/>
      <c r="Q22" s="80"/>
      <c r="R22" s="80"/>
      <c r="S22" s="80"/>
      <c r="T22" s="117"/>
    </row>
    <row r="23" spans="1:20" s="88" customFormat="1" ht="28.8" x14ac:dyDescent="0.3">
      <c r="A23" s="78" t="s">
        <v>1334</v>
      </c>
      <c r="B23" s="133" t="s">
        <v>539</v>
      </c>
      <c r="C23" s="140" t="s">
        <v>1300</v>
      </c>
      <c r="D23" s="129" t="s">
        <v>1335</v>
      </c>
      <c r="E23" s="153" t="s">
        <v>1336</v>
      </c>
      <c r="F23" s="129" t="s">
        <v>1337</v>
      </c>
      <c r="G23" s="129" t="s">
        <v>1338</v>
      </c>
      <c r="H23" s="156" t="s">
        <v>1287</v>
      </c>
      <c r="I23" s="140" t="s">
        <v>1288</v>
      </c>
      <c r="J23" s="79">
        <v>45970</v>
      </c>
      <c r="K23" s="79"/>
      <c r="L23" s="77">
        <v>7</v>
      </c>
      <c r="M23" s="80"/>
      <c r="N23" s="80"/>
      <c r="O23" s="80"/>
      <c r="P23" s="80"/>
      <c r="Q23" s="80"/>
      <c r="R23" s="80"/>
      <c r="S23" s="80"/>
      <c r="T23" s="117"/>
    </row>
    <row r="24" spans="1:20" s="88" customFormat="1" ht="28.8" x14ac:dyDescent="0.3">
      <c r="A24" s="78" t="s">
        <v>1339</v>
      </c>
      <c r="B24" s="133" t="s">
        <v>539</v>
      </c>
      <c r="C24" s="140" t="s">
        <v>1283</v>
      </c>
      <c r="D24" s="129" t="s">
        <v>1340</v>
      </c>
      <c r="E24" s="154" t="s">
        <v>1208</v>
      </c>
      <c r="F24" s="129" t="s">
        <v>1341</v>
      </c>
      <c r="G24" s="129" t="s">
        <v>1342</v>
      </c>
      <c r="H24" s="156" t="s">
        <v>1287</v>
      </c>
      <c r="I24" s="140" t="s">
        <v>1288</v>
      </c>
      <c r="J24" s="79">
        <v>45970</v>
      </c>
      <c r="K24" s="79"/>
      <c r="L24" s="77">
        <v>7</v>
      </c>
      <c r="M24" s="80"/>
      <c r="N24" s="80"/>
      <c r="O24" s="80"/>
      <c r="P24" s="80"/>
      <c r="Q24" s="80"/>
      <c r="R24" s="80"/>
      <c r="S24" s="80"/>
      <c r="T24" s="117"/>
    </row>
    <row r="25" spans="1:20" s="88" customFormat="1" ht="28.8" x14ac:dyDescent="0.3">
      <c r="A25" s="78" t="s">
        <v>1343</v>
      </c>
      <c r="B25" s="133" t="s">
        <v>539</v>
      </c>
      <c r="C25" s="140" t="s">
        <v>1230</v>
      </c>
      <c r="D25" s="129" t="s">
        <v>1344</v>
      </c>
      <c r="E25" s="154" t="s">
        <v>1345</v>
      </c>
      <c r="F25" s="129" t="s">
        <v>1346</v>
      </c>
      <c r="G25" s="129" t="s">
        <v>1347</v>
      </c>
      <c r="H25" s="156" t="s">
        <v>1294</v>
      </c>
      <c r="I25" s="140" t="s">
        <v>1235</v>
      </c>
      <c r="J25" s="79">
        <v>45970</v>
      </c>
      <c r="K25" s="79"/>
      <c r="L25" s="77">
        <v>7</v>
      </c>
      <c r="M25" s="80"/>
      <c r="N25" s="80"/>
      <c r="O25" s="80"/>
      <c r="P25" s="80"/>
      <c r="Q25" s="80"/>
      <c r="R25" s="80"/>
      <c r="S25" s="80"/>
      <c r="T25" s="117"/>
    </row>
    <row r="26" spans="1:20" s="88" customFormat="1" ht="28.8" x14ac:dyDescent="0.3">
      <c r="A26" s="78" t="s">
        <v>1348</v>
      </c>
      <c r="B26" s="133" t="s">
        <v>539</v>
      </c>
      <c r="C26" s="140" t="s">
        <v>1237</v>
      </c>
      <c r="D26" s="129" t="s">
        <v>1349</v>
      </c>
      <c r="E26" s="154" t="s">
        <v>1266</v>
      </c>
      <c r="F26" s="129" t="s">
        <v>1350</v>
      </c>
      <c r="G26" s="129" t="s">
        <v>1351</v>
      </c>
      <c r="H26" s="155" t="s">
        <v>1241</v>
      </c>
      <c r="I26" s="140" t="s">
        <v>1242</v>
      </c>
      <c r="J26" s="79">
        <v>45970</v>
      </c>
      <c r="K26" s="79"/>
      <c r="L26" s="77">
        <v>7</v>
      </c>
      <c r="M26" s="80"/>
      <c r="N26" s="80"/>
      <c r="O26" s="80"/>
      <c r="P26" s="80"/>
      <c r="Q26" s="80"/>
      <c r="R26" s="80"/>
      <c r="S26" s="80"/>
      <c r="T26" s="117"/>
    </row>
    <row r="27" spans="1:20" s="88" customFormat="1" ht="28.8" x14ac:dyDescent="0.3">
      <c r="A27" s="78" t="s">
        <v>1352</v>
      </c>
      <c r="B27" s="133" t="s">
        <v>539</v>
      </c>
      <c r="C27" s="140" t="s">
        <v>1300</v>
      </c>
      <c r="D27" s="129" t="s">
        <v>1353</v>
      </c>
      <c r="E27" s="154" t="s">
        <v>1354</v>
      </c>
      <c r="F27" s="129" t="s">
        <v>1355</v>
      </c>
      <c r="G27" s="129" t="s">
        <v>1356</v>
      </c>
      <c r="H27" s="155" t="s">
        <v>1287</v>
      </c>
      <c r="I27" s="140" t="s">
        <v>1288</v>
      </c>
      <c r="J27" s="79">
        <v>45970</v>
      </c>
      <c r="K27" s="79"/>
      <c r="L27" s="77">
        <v>7</v>
      </c>
      <c r="M27" s="80"/>
      <c r="N27" s="80"/>
      <c r="O27" s="80"/>
      <c r="P27" s="80"/>
      <c r="Q27" s="80"/>
      <c r="R27" s="80"/>
      <c r="S27" s="80"/>
      <c r="T27" s="117"/>
    </row>
    <row r="28" spans="1:20" s="89" customFormat="1" ht="78.75" customHeight="1" x14ac:dyDescent="0.3">
      <c r="A28" s="78" t="s">
        <v>1357</v>
      </c>
      <c r="B28" s="133" t="s">
        <v>539</v>
      </c>
      <c r="C28" s="140" t="s">
        <v>1257</v>
      </c>
      <c r="D28" s="129" t="s">
        <v>1358</v>
      </c>
      <c r="E28" s="153" t="s">
        <v>1266</v>
      </c>
      <c r="F28" s="129" t="s">
        <v>1359</v>
      </c>
      <c r="G28" s="129" t="s">
        <v>1360</v>
      </c>
      <c r="H28" s="155" t="s">
        <v>1241</v>
      </c>
      <c r="I28" s="140" t="s">
        <v>1262</v>
      </c>
      <c r="J28" s="79">
        <v>45971</v>
      </c>
      <c r="K28" s="79"/>
      <c r="L28" s="77">
        <v>7</v>
      </c>
      <c r="M28" s="78"/>
      <c r="N28" s="78"/>
      <c r="O28" s="78"/>
      <c r="P28" s="78"/>
      <c r="Q28" s="78"/>
      <c r="R28" s="78"/>
      <c r="S28" s="78"/>
      <c r="T28" s="135"/>
    </row>
    <row r="29" spans="1:20" s="89" customFormat="1" ht="43.2" x14ac:dyDescent="0.3">
      <c r="A29" s="78" t="s">
        <v>1361</v>
      </c>
      <c r="B29" s="130" t="s">
        <v>167</v>
      </c>
      <c r="C29" s="140" t="s">
        <v>1230</v>
      </c>
      <c r="D29" s="129" t="s">
        <v>1362</v>
      </c>
      <c r="E29" s="153" t="s">
        <v>1363</v>
      </c>
      <c r="F29" s="129" t="s">
        <v>1364</v>
      </c>
      <c r="G29" s="129" t="s">
        <v>1365</v>
      </c>
      <c r="H29" s="155" t="s">
        <v>1294</v>
      </c>
      <c r="I29" s="140" t="s">
        <v>1235</v>
      </c>
      <c r="J29" s="79">
        <v>45971</v>
      </c>
      <c r="K29" s="79"/>
      <c r="L29" s="77">
        <v>5</v>
      </c>
      <c r="M29" s="78"/>
      <c r="N29" s="78"/>
      <c r="O29" s="78"/>
      <c r="P29" s="78"/>
      <c r="Q29" s="78"/>
      <c r="R29" s="78"/>
      <c r="S29" s="78"/>
      <c r="T29" s="135"/>
    </row>
    <row r="30" spans="1:20" ht="43.2" x14ac:dyDescent="0.3">
      <c r="A30" s="78" t="s">
        <v>1366</v>
      </c>
      <c r="B30" s="130" t="s">
        <v>167</v>
      </c>
      <c r="C30" s="140" t="s">
        <v>1237</v>
      </c>
      <c r="D30" s="129" t="s">
        <v>1367</v>
      </c>
      <c r="E30" s="154" t="s">
        <v>1368</v>
      </c>
      <c r="F30" s="129" t="s">
        <v>1369</v>
      </c>
      <c r="G30" s="129" t="s">
        <v>1370</v>
      </c>
      <c r="H30" s="156" t="s">
        <v>1241</v>
      </c>
      <c r="I30" s="140" t="s">
        <v>1242</v>
      </c>
      <c r="J30" s="79">
        <v>45971</v>
      </c>
      <c r="K30" s="79"/>
      <c r="L30" s="77">
        <v>5</v>
      </c>
      <c r="M30" s="78"/>
      <c r="N30" s="78"/>
      <c r="O30" s="78"/>
      <c r="P30" s="78"/>
      <c r="Q30" s="78"/>
      <c r="R30" s="78"/>
      <c r="S30" s="78"/>
    </row>
    <row r="31" spans="1:20" ht="57.6" hidden="1" x14ac:dyDescent="0.3">
      <c r="A31" s="78" t="s">
        <v>1371</v>
      </c>
      <c r="B31" s="131" t="s">
        <v>219</v>
      </c>
      <c r="C31" s="140" t="s">
        <v>1372</v>
      </c>
      <c r="D31" s="129" t="s">
        <v>1373</v>
      </c>
      <c r="E31" s="129" t="s">
        <v>1374</v>
      </c>
      <c r="F31" s="129" t="s">
        <v>1375</v>
      </c>
      <c r="G31" s="129" t="s">
        <v>1376</v>
      </c>
      <c r="H31" s="154" t="s">
        <v>1255</v>
      </c>
      <c r="I31" s="129" t="s">
        <v>1377</v>
      </c>
      <c r="J31" s="79">
        <v>45971</v>
      </c>
      <c r="K31" s="79"/>
      <c r="L31" s="79"/>
      <c r="M31" s="78"/>
      <c r="N31" s="78"/>
      <c r="O31" s="78"/>
      <c r="P31" s="78"/>
      <c r="Q31" s="78"/>
      <c r="R31" s="78"/>
      <c r="S31" s="78"/>
    </row>
    <row r="32" spans="1:20" ht="57.6" hidden="1" x14ac:dyDescent="0.3">
      <c r="A32" s="78" t="s">
        <v>1378</v>
      </c>
      <c r="B32" s="131" t="s">
        <v>219</v>
      </c>
      <c r="C32" s="140" t="s">
        <v>1314</v>
      </c>
      <c r="D32" s="129" t="s">
        <v>1379</v>
      </c>
      <c r="E32" s="129" t="s">
        <v>1380</v>
      </c>
      <c r="F32" s="129" t="s">
        <v>1381</v>
      </c>
      <c r="G32" s="129" t="s">
        <v>1382</v>
      </c>
      <c r="H32" s="154" t="s">
        <v>1241</v>
      </c>
      <c r="I32" s="129" t="s">
        <v>1383</v>
      </c>
      <c r="J32" s="79">
        <v>45971</v>
      </c>
      <c r="K32" s="79"/>
      <c r="L32" s="79"/>
      <c r="M32" s="78"/>
      <c r="N32" s="78"/>
      <c r="O32" s="78"/>
      <c r="P32" s="78"/>
      <c r="Q32" s="78"/>
      <c r="R32" s="78"/>
      <c r="S32" s="78"/>
    </row>
    <row r="33" spans="1:19" ht="43.2" x14ac:dyDescent="0.3">
      <c r="A33" s="78" t="s">
        <v>1384</v>
      </c>
      <c r="B33" s="131" t="s">
        <v>219</v>
      </c>
      <c r="C33" s="140" t="s">
        <v>1206</v>
      </c>
      <c r="D33" s="129" t="s">
        <v>1385</v>
      </c>
      <c r="E33" s="153" t="s">
        <v>1386</v>
      </c>
      <c r="F33" s="129" t="s">
        <v>1387</v>
      </c>
      <c r="G33" s="129" t="s">
        <v>1388</v>
      </c>
      <c r="H33" s="155" t="s">
        <v>1261</v>
      </c>
      <c r="I33" s="140" t="s">
        <v>1212</v>
      </c>
      <c r="J33" s="79">
        <v>45971</v>
      </c>
      <c r="K33" s="79"/>
      <c r="L33" s="77">
        <v>5</v>
      </c>
      <c r="M33" s="78"/>
      <c r="N33" s="78"/>
      <c r="O33" s="78"/>
      <c r="P33" s="78"/>
      <c r="Q33" s="78"/>
      <c r="R33" s="78"/>
      <c r="S33" s="78"/>
    </row>
    <row r="34" spans="1:19" ht="43.2" x14ac:dyDescent="0.3">
      <c r="A34" s="78" t="s">
        <v>1389</v>
      </c>
      <c r="B34" s="131" t="s">
        <v>219</v>
      </c>
      <c r="C34" s="140" t="s">
        <v>1237</v>
      </c>
      <c r="D34" s="129" t="s">
        <v>1390</v>
      </c>
      <c r="E34" s="154" t="s">
        <v>1391</v>
      </c>
      <c r="F34" s="129" t="s">
        <v>1392</v>
      </c>
      <c r="G34" s="129" t="s">
        <v>1393</v>
      </c>
      <c r="H34" s="155" t="s">
        <v>1294</v>
      </c>
      <c r="I34" s="140" t="s">
        <v>1242</v>
      </c>
      <c r="J34" s="79">
        <v>45971</v>
      </c>
      <c r="K34" s="79"/>
      <c r="L34" s="77">
        <v>5</v>
      </c>
      <c r="M34" s="78"/>
      <c r="N34" s="78"/>
      <c r="O34" s="78"/>
      <c r="P34" s="78"/>
      <c r="Q34" s="78"/>
      <c r="R34" s="78"/>
      <c r="S34" s="78"/>
    </row>
    <row r="35" spans="1:19" ht="43.2" x14ac:dyDescent="0.3">
      <c r="A35" s="78" t="s">
        <v>1394</v>
      </c>
      <c r="B35" s="131" t="s">
        <v>219</v>
      </c>
      <c r="C35" s="140" t="s">
        <v>1257</v>
      </c>
      <c r="D35" s="129" t="s">
        <v>1395</v>
      </c>
      <c r="E35" s="153" t="s">
        <v>1391</v>
      </c>
      <c r="F35" s="129" t="s">
        <v>1396</v>
      </c>
      <c r="G35" s="129" t="s">
        <v>1397</v>
      </c>
      <c r="H35" s="156" t="s">
        <v>1261</v>
      </c>
      <c r="I35" s="140" t="s">
        <v>1262</v>
      </c>
      <c r="J35" s="79">
        <v>45971</v>
      </c>
      <c r="K35" s="79"/>
      <c r="L35" s="77">
        <v>5</v>
      </c>
      <c r="M35" s="78"/>
      <c r="N35" s="78"/>
      <c r="O35" s="78"/>
      <c r="P35" s="78"/>
      <c r="Q35" s="78"/>
      <c r="R35" s="78"/>
      <c r="S35" s="78"/>
    </row>
    <row r="36" spans="1:19" ht="43.2" x14ac:dyDescent="0.3">
      <c r="A36" s="78" t="s">
        <v>1398</v>
      </c>
      <c r="B36" s="131" t="s">
        <v>219</v>
      </c>
      <c r="C36" s="140" t="s">
        <v>1230</v>
      </c>
      <c r="D36" s="129" t="s">
        <v>1399</v>
      </c>
      <c r="E36" s="153" t="s">
        <v>1391</v>
      </c>
      <c r="F36" s="129" t="s">
        <v>1400</v>
      </c>
      <c r="G36" s="129" t="s">
        <v>1401</v>
      </c>
      <c r="H36" s="155" t="s">
        <v>1294</v>
      </c>
      <c r="I36" s="140" t="s">
        <v>1235</v>
      </c>
      <c r="J36" s="79">
        <v>45971</v>
      </c>
      <c r="K36" s="79"/>
      <c r="L36" s="77">
        <v>5</v>
      </c>
      <c r="M36" s="78"/>
      <c r="N36" s="78"/>
      <c r="O36" s="78"/>
      <c r="P36" s="78"/>
      <c r="Q36" s="78"/>
      <c r="R36" s="78"/>
      <c r="S36" s="78"/>
    </row>
    <row r="37" spans="1:19" ht="28.8" x14ac:dyDescent="0.3">
      <c r="A37" s="78" t="s">
        <v>1402</v>
      </c>
      <c r="B37" s="131" t="s">
        <v>219</v>
      </c>
      <c r="C37" s="140" t="s">
        <v>1300</v>
      </c>
      <c r="D37" s="129" t="s">
        <v>1403</v>
      </c>
      <c r="E37" s="153" t="s">
        <v>1404</v>
      </c>
      <c r="F37" s="129" t="s">
        <v>1405</v>
      </c>
      <c r="G37" s="129" t="s">
        <v>1406</v>
      </c>
      <c r="H37" s="155" t="s">
        <v>1294</v>
      </c>
      <c r="I37" s="140" t="s">
        <v>1235</v>
      </c>
      <c r="J37" s="79">
        <v>45971</v>
      </c>
      <c r="K37" s="79"/>
      <c r="L37" s="77">
        <v>5</v>
      </c>
      <c r="M37" s="78"/>
      <c r="N37" s="78"/>
      <c r="O37" s="78"/>
      <c r="P37" s="78"/>
      <c r="Q37" s="78"/>
      <c r="R37" s="78"/>
      <c r="S37" s="78"/>
    </row>
    <row r="38" spans="1:19" ht="43.2" x14ac:dyDescent="0.3">
      <c r="A38" s="78" t="s">
        <v>1407</v>
      </c>
      <c r="B38" s="131" t="s">
        <v>219</v>
      </c>
      <c r="C38" s="140" t="s">
        <v>1244</v>
      </c>
      <c r="D38" s="129" t="s">
        <v>1408</v>
      </c>
      <c r="E38" s="154" t="s">
        <v>1409</v>
      </c>
      <c r="F38" s="129" t="s">
        <v>1410</v>
      </c>
      <c r="G38" s="129" t="s">
        <v>1411</v>
      </c>
      <c r="H38" s="155" t="s">
        <v>1248</v>
      </c>
      <c r="I38" s="140" t="s">
        <v>1249</v>
      </c>
      <c r="J38" s="79">
        <v>45971</v>
      </c>
      <c r="K38" s="79"/>
      <c r="L38" s="77">
        <v>5</v>
      </c>
      <c r="M38" s="78"/>
      <c r="N38" s="78"/>
      <c r="O38" s="78"/>
      <c r="P38" s="78"/>
      <c r="Q38" s="78"/>
      <c r="R38" s="78"/>
      <c r="S38" s="78"/>
    </row>
    <row r="39" spans="1:19" ht="57.6" hidden="1" x14ac:dyDescent="0.3">
      <c r="A39" s="78" t="s">
        <v>1412</v>
      </c>
      <c r="B39" s="132" t="s">
        <v>305</v>
      </c>
      <c r="C39" s="140" t="s">
        <v>1222</v>
      </c>
      <c r="D39" s="129" t="s">
        <v>1413</v>
      </c>
      <c r="E39" s="129" t="s">
        <v>1414</v>
      </c>
      <c r="F39" s="129" t="s">
        <v>1415</v>
      </c>
      <c r="G39" s="129" t="s">
        <v>1416</v>
      </c>
      <c r="H39" s="154" t="s">
        <v>1287</v>
      </c>
      <c r="I39" s="129" t="s">
        <v>1417</v>
      </c>
      <c r="J39" s="79">
        <v>45971</v>
      </c>
      <c r="K39" s="79"/>
      <c r="L39" s="79"/>
      <c r="M39" s="78"/>
      <c r="N39" s="78"/>
      <c r="O39" s="78"/>
      <c r="P39" s="78"/>
      <c r="Q39" s="78"/>
      <c r="R39" s="78"/>
      <c r="S39" s="78"/>
    </row>
    <row r="40" spans="1:19" s="136" customFormat="1" ht="72" hidden="1" x14ac:dyDescent="0.3">
      <c r="A40" s="78" t="s">
        <v>1418</v>
      </c>
      <c r="B40" s="132" t="s">
        <v>305</v>
      </c>
      <c r="C40" s="140" t="s">
        <v>1372</v>
      </c>
      <c r="D40" s="129" t="s">
        <v>1419</v>
      </c>
      <c r="E40" s="129" t="s">
        <v>1420</v>
      </c>
      <c r="F40" s="129" t="s">
        <v>1421</v>
      </c>
      <c r="G40" s="129" t="s">
        <v>1422</v>
      </c>
      <c r="H40" s="129" t="s">
        <v>1423</v>
      </c>
      <c r="I40" s="129" t="s">
        <v>1424</v>
      </c>
      <c r="J40" s="79">
        <v>45971</v>
      </c>
      <c r="K40" s="79"/>
      <c r="L40" s="79"/>
      <c r="M40" s="124"/>
      <c r="N40" s="124"/>
      <c r="O40" s="124"/>
      <c r="P40" s="124"/>
      <c r="Q40" s="124"/>
      <c r="R40" s="124"/>
      <c r="S40" s="124"/>
    </row>
    <row r="41" spans="1:19" s="136" customFormat="1" ht="30.75" customHeight="1" x14ac:dyDescent="0.3">
      <c r="A41" s="78" t="s">
        <v>1425</v>
      </c>
      <c r="B41" s="132" t="s">
        <v>305</v>
      </c>
      <c r="C41" s="140" t="s">
        <v>1283</v>
      </c>
      <c r="D41" s="129" t="s">
        <v>1426</v>
      </c>
      <c r="E41" s="153" t="s">
        <v>1386</v>
      </c>
      <c r="F41" s="129" t="s">
        <v>1427</v>
      </c>
      <c r="G41" s="129" t="s">
        <v>1428</v>
      </c>
      <c r="H41" s="156" t="s">
        <v>1287</v>
      </c>
      <c r="I41" s="140" t="s">
        <v>1288</v>
      </c>
      <c r="J41" s="79">
        <v>45971</v>
      </c>
      <c r="K41" s="79"/>
      <c r="L41" s="77">
        <v>7</v>
      </c>
      <c r="M41" s="124"/>
      <c r="N41" s="124"/>
      <c r="O41" s="124"/>
      <c r="P41" s="124"/>
      <c r="Q41" s="124"/>
      <c r="R41" s="124"/>
      <c r="S41" s="124"/>
    </row>
    <row r="42" spans="1:19" s="136" customFormat="1" ht="28.8" x14ac:dyDescent="0.3">
      <c r="A42" s="78" t="s">
        <v>1429</v>
      </c>
      <c r="B42" s="132" t="s">
        <v>305</v>
      </c>
      <c r="C42" s="140" t="s">
        <v>1300</v>
      </c>
      <c r="D42" s="129" t="s">
        <v>1430</v>
      </c>
      <c r="E42" s="154" t="s">
        <v>1431</v>
      </c>
      <c r="F42" s="129" t="s">
        <v>1432</v>
      </c>
      <c r="G42" s="129" t="s">
        <v>1433</v>
      </c>
      <c r="H42" s="156" t="s">
        <v>1287</v>
      </c>
      <c r="I42" s="140" t="s">
        <v>1288</v>
      </c>
      <c r="J42" s="79">
        <v>45971</v>
      </c>
      <c r="K42" s="79"/>
      <c r="L42" s="77">
        <v>7</v>
      </c>
      <c r="M42" s="124"/>
      <c r="N42" s="124"/>
      <c r="O42" s="124"/>
      <c r="P42" s="124"/>
      <c r="Q42" s="124"/>
      <c r="R42" s="124"/>
      <c r="S42" s="124"/>
    </row>
    <row r="43" spans="1:19" s="136" customFormat="1" ht="43.2" x14ac:dyDescent="0.3">
      <c r="A43" s="78" t="s">
        <v>1434</v>
      </c>
      <c r="B43" s="132" t="s">
        <v>305</v>
      </c>
      <c r="C43" s="140" t="s">
        <v>1206</v>
      </c>
      <c r="D43" s="129" t="s">
        <v>1435</v>
      </c>
      <c r="E43" s="153" t="s">
        <v>1386</v>
      </c>
      <c r="F43" s="129" t="s">
        <v>1436</v>
      </c>
      <c r="G43" s="129" t="s">
        <v>1437</v>
      </c>
      <c r="H43" s="156" t="s">
        <v>1255</v>
      </c>
      <c r="I43" s="140" t="s">
        <v>1212</v>
      </c>
      <c r="J43" s="79">
        <v>45971</v>
      </c>
      <c r="K43" s="79"/>
      <c r="L43" s="77">
        <v>7</v>
      </c>
      <c r="M43" s="124"/>
      <c r="N43" s="124"/>
      <c r="O43" s="124"/>
      <c r="P43" s="124"/>
      <c r="Q43" s="124"/>
      <c r="R43" s="124"/>
      <c r="S43" s="124"/>
    </row>
    <row r="44" spans="1:19" s="136" customFormat="1" ht="43.2" x14ac:dyDescent="0.3">
      <c r="A44" s="78" t="s">
        <v>1438</v>
      </c>
      <c r="B44" s="132" t="s">
        <v>305</v>
      </c>
      <c r="C44" s="140" t="s">
        <v>1257</v>
      </c>
      <c r="D44" s="129" t="s">
        <v>1439</v>
      </c>
      <c r="E44" s="154" t="s">
        <v>1440</v>
      </c>
      <c r="F44" s="129" t="s">
        <v>1441</v>
      </c>
      <c r="G44" s="129" t="s">
        <v>1442</v>
      </c>
      <c r="H44" s="155" t="s">
        <v>1261</v>
      </c>
      <c r="I44" s="140" t="s">
        <v>1262</v>
      </c>
      <c r="J44" s="79">
        <v>45971</v>
      </c>
      <c r="K44" s="79"/>
      <c r="L44" s="77">
        <v>7</v>
      </c>
      <c r="M44" s="124"/>
      <c r="N44" s="124"/>
      <c r="O44" s="124"/>
      <c r="P44" s="124"/>
      <c r="Q44" s="124"/>
      <c r="R44" s="124"/>
      <c r="S44" s="124"/>
    </row>
    <row r="45" spans="1:19" s="136" customFormat="1" ht="43.2" x14ac:dyDescent="0.3">
      <c r="A45" s="78" t="s">
        <v>1443</v>
      </c>
      <c r="B45" s="132" t="s">
        <v>305</v>
      </c>
      <c r="C45" s="140" t="s">
        <v>1230</v>
      </c>
      <c r="D45" s="129" t="s">
        <v>1444</v>
      </c>
      <c r="E45" s="153" t="s">
        <v>1386</v>
      </c>
      <c r="F45" s="129" t="s">
        <v>1445</v>
      </c>
      <c r="G45" s="129" t="s">
        <v>1446</v>
      </c>
      <c r="H45" s="155" t="s">
        <v>1294</v>
      </c>
      <c r="I45" s="140" t="s">
        <v>1235</v>
      </c>
      <c r="J45" s="79">
        <v>45971</v>
      </c>
      <c r="K45" s="79"/>
      <c r="L45" s="77">
        <v>7</v>
      </c>
      <c r="M45" s="124"/>
      <c r="N45" s="124"/>
      <c r="O45" s="124"/>
      <c r="P45" s="124"/>
      <c r="Q45" s="124"/>
      <c r="R45" s="124"/>
      <c r="S45" s="124"/>
    </row>
    <row r="46" spans="1:19" s="138" customFormat="1" ht="28.8" x14ac:dyDescent="0.3">
      <c r="A46" s="78" t="s">
        <v>1447</v>
      </c>
      <c r="B46" s="132" t="s">
        <v>305</v>
      </c>
      <c r="C46" s="140" t="s">
        <v>1237</v>
      </c>
      <c r="D46" s="129" t="s">
        <v>1448</v>
      </c>
      <c r="E46" s="154" t="s">
        <v>1449</v>
      </c>
      <c r="F46" s="129" t="s">
        <v>1450</v>
      </c>
      <c r="G46" s="129" t="s">
        <v>1451</v>
      </c>
      <c r="H46" s="155" t="s">
        <v>1241</v>
      </c>
      <c r="I46" s="140" t="s">
        <v>1242</v>
      </c>
      <c r="J46" s="79">
        <v>45971</v>
      </c>
      <c r="K46" s="79"/>
      <c r="L46" s="77">
        <v>7</v>
      </c>
      <c r="M46" s="124"/>
      <c r="N46" s="124"/>
      <c r="O46" s="124"/>
      <c r="P46" s="124"/>
      <c r="Q46" s="124"/>
      <c r="R46" s="124"/>
      <c r="S46" s="124"/>
    </row>
    <row r="47" spans="1:19" s="138" customFormat="1" ht="72" hidden="1" x14ac:dyDescent="0.3">
      <c r="A47" s="78" t="s">
        <v>1452</v>
      </c>
      <c r="B47" s="133" t="s">
        <v>539</v>
      </c>
      <c r="C47" s="140" t="s">
        <v>1453</v>
      </c>
      <c r="D47" s="129" t="s">
        <v>1454</v>
      </c>
      <c r="E47" s="129" t="s">
        <v>1455</v>
      </c>
      <c r="F47" s="129" t="s">
        <v>1456</v>
      </c>
      <c r="G47" s="129" t="s">
        <v>1457</v>
      </c>
      <c r="H47" s="154" t="s">
        <v>1248</v>
      </c>
      <c r="I47" s="129" t="s">
        <v>1458</v>
      </c>
      <c r="J47" s="79">
        <v>45971</v>
      </c>
      <c r="K47" s="79"/>
      <c r="L47" s="79"/>
      <c r="M47" s="124"/>
      <c r="N47" s="124"/>
      <c r="O47" s="124"/>
      <c r="P47" s="124"/>
      <c r="Q47" s="124"/>
      <c r="R47" s="124"/>
      <c r="S47" s="124"/>
    </row>
    <row r="48" spans="1:19" s="138" customFormat="1" ht="57.6" hidden="1" x14ac:dyDescent="0.3">
      <c r="A48" s="78" t="s">
        <v>1459</v>
      </c>
      <c r="B48" s="133" t="s">
        <v>539</v>
      </c>
      <c r="C48" s="140" t="s">
        <v>1460</v>
      </c>
      <c r="D48" s="129" t="s">
        <v>1461</v>
      </c>
      <c r="E48" s="129" t="s">
        <v>1462</v>
      </c>
      <c r="F48" s="129" t="s">
        <v>1463</v>
      </c>
      <c r="G48" s="129" t="s">
        <v>1464</v>
      </c>
      <c r="H48" s="129" t="s">
        <v>1465</v>
      </c>
      <c r="I48" s="129" t="s">
        <v>1466</v>
      </c>
      <c r="J48" s="79">
        <v>45971</v>
      </c>
      <c r="K48" s="79"/>
      <c r="L48" s="79"/>
      <c r="M48" s="124"/>
      <c r="N48" s="124"/>
      <c r="O48" s="124"/>
      <c r="P48" s="124"/>
      <c r="Q48" s="124"/>
      <c r="R48" s="124"/>
      <c r="S48" s="124"/>
    </row>
    <row r="49" spans="1:19" s="138" customFormat="1" ht="57.6" hidden="1" x14ac:dyDescent="0.3">
      <c r="A49" s="78" t="s">
        <v>1467</v>
      </c>
      <c r="B49" s="133" t="s">
        <v>539</v>
      </c>
      <c r="C49" s="140" t="s">
        <v>1468</v>
      </c>
      <c r="D49" s="129" t="s">
        <v>1469</v>
      </c>
      <c r="E49" s="129" t="s">
        <v>1470</v>
      </c>
      <c r="F49" s="129" t="s">
        <v>1471</v>
      </c>
      <c r="G49" s="129" t="s">
        <v>1472</v>
      </c>
      <c r="H49" s="129" t="s">
        <v>1473</v>
      </c>
      <c r="I49" s="129" t="s">
        <v>1474</v>
      </c>
      <c r="J49" s="79">
        <v>45971</v>
      </c>
      <c r="K49" s="79"/>
      <c r="L49" s="79"/>
      <c r="M49" s="124"/>
      <c r="N49" s="124"/>
      <c r="O49" s="124"/>
      <c r="P49" s="124"/>
      <c r="Q49" s="124"/>
      <c r="R49" s="124"/>
      <c r="S49" s="124"/>
    </row>
    <row r="50" spans="1:19" s="138" customFormat="1" ht="57.6" hidden="1" x14ac:dyDescent="0.3">
      <c r="A50" s="78" t="s">
        <v>1475</v>
      </c>
      <c r="B50" s="133" t="s">
        <v>539</v>
      </c>
      <c r="C50" s="140" t="s">
        <v>1476</v>
      </c>
      <c r="D50" s="129" t="s">
        <v>1477</v>
      </c>
      <c r="E50" s="129" t="s">
        <v>1478</v>
      </c>
      <c r="F50" s="129" t="s">
        <v>1479</v>
      </c>
      <c r="G50" s="129" t="s">
        <v>1480</v>
      </c>
      <c r="H50" s="129" t="s">
        <v>1481</v>
      </c>
      <c r="I50" s="129" t="s">
        <v>1482</v>
      </c>
      <c r="J50" s="79">
        <v>45971</v>
      </c>
      <c r="K50" s="79"/>
      <c r="L50" s="79"/>
      <c r="M50" s="124"/>
      <c r="N50" s="124"/>
      <c r="O50" s="124"/>
      <c r="P50" s="124"/>
      <c r="Q50" s="124"/>
      <c r="R50" s="124"/>
      <c r="S50" s="124"/>
    </row>
    <row r="51" spans="1:19" s="138" customFormat="1" ht="72" hidden="1" x14ac:dyDescent="0.3">
      <c r="A51" s="78" t="s">
        <v>1483</v>
      </c>
      <c r="B51" s="133" t="s">
        <v>539</v>
      </c>
      <c r="C51" s="140" t="s">
        <v>1222</v>
      </c>
      <c r="D51" s="129" t="s">
        <v>1484</v>
      </c>
      <c r="E51" s="129" t="s">
        <v>1485</v>
      </c>
      <c r="F51" s="129" t="s">
        <v>1486</v>
      </c>
      <c r="G51" s="129" t="s">
        <v>1487</v>
      </c>
      <c r="H51" s="129" t="s">
        <v>1488</v>
      </c>
      <c r="I51" s="129" t="s">
        <v>1489</v>
      </c>
      <c r="J51" s="79">
        <v>45971</v>
      </c>
      <c r="K51" s="79"/>
      <c r="L51" s="79"/>
      <c r="M51" s="124"/>
      <c r="N51" s="124"/>
      <c r="O51" s="124"/>
      <c r="P51" s="124"/>
      <c r="Q51" s="124"/>
      <c r="R51" s="124"/>
      <c r="S51" s="124"/>
    </row>
    <row r="52" spans="1:19" s="138" customFormat="1" ht="72" hidden="1" x14ac:dyDescent="0.3">
      <c r="A52" s="78" t="s">
        <v>1490</v>
      </c>
      <c r="B52" s="133" t="s">
        <v>539</v>
      </c>
      <c r="C52" s="140" t="s">
        <v>1491</v>
      </c>
      <c r="D52" s="129" t="s">
        <v>1492</v>
      </c>
      <c r="E52" s="129" t="s">
        <v>1493</v>
      </c>
      <c r="F52" s="129" t="s">
        <v>1494</v>
      </c>
      <c r="G52" s="129" t="s">
        <v>1495</v>
      </c>
      <c r="H52" s="129" t="s">
        <v>1496</v>
      </c>
      <c r="I52" s="129" t="s">
        <v>1497</v>
      </c>
      <c r="J52" s="79">
        <v>45971</v>
      </c>
      <c r="K52" s="79"/>
      <c r="L52" s="79"/>
      <c r="M52" s="124"/>
      <c r="N52" s="124"/>
      <c r="O52" s="124"/>
      <c r="P52" s="124"/>
      <c r="Q52" s="124"/>
      <c r="R52" s="124"/>
      <c r="S52" s="124"/>
    </row>
    <row r="53" spans="1:19" s="138" customFormat="1" ht="43.2" hidden="1" x14ac:dyDescent="0.3">
      <c r="A53" s="78" t="s">
        <v>1498</v>
      </c>
      <c r="B53" s="133" t="s">
        <v>539</v>
      </c>
      <c r="C53" s="140" t="s">
        <v>1453</v>
      </c>
      <c r="D53" s="129" t="s">
        <v>1499</v>
      </c>
      <c r="E53" s="129" t="s">
        <v>1500</v>
      </c>
      <c r="F53" s="129" t="s">
        <v>1501</v>
      </c>
      <c r="G53" s="129" t="s">
        <v>1502</v>
      </c>
      <c r="H53" s="129" t="s">
        <v>1503</v>
      </c>
      <c r="I53" s="129" t="s">
        <v>1504</v>
      </c>
      <c r="J53" s="79">
        <v>45971</v>
      </c>
      <c r="K53" s="79"/>
      <c r="L53" s="79"/>
      <c r="M53" s="124"/>
      <c r="N53" s="124"/>
      <c r="O53" s="124"/>
      <c r="P53" s="124"/>
      <c r="Q53" s="124"/>
      <c r="R53" s="124"/>
      <c r="S53" s="124"/>
    </row>
    <row r="54" spans="1:19" s="138" customFormat="1" ht="43.2" hidden="1" x14ac:dyDescent="0.3">
      <c r="A54" s="78" t="s">
        <v>1505</v>
      </c>
      <c r="B54" s="133" t="s">
        <v>539</v>
      </c>
      <c r="C54" s="140" t="s">
        <v>1460</v>
      </c>
      <c r="D54" s="129" t="s">
        <v>1506</v>
      </c>
      <c r="E54" s="129" t="s">
        <v>1507</v>
      </c>
      <c r="F54" s="129" t="s">
        <v>1508</v>
      </c>
      <c r="G54" s="129" t="s">
        <v>1509</v>
      </c>
      <c r="H54" s="129" t="s">
        <v>1510</v>
      </c>
      <c r="I54" s="129" t="s">
        <v>1511</v>
      </c>
      <c r="J54" s="79">
        <v>45971</v>
      </c>
      <c r="K54" s="79"/>
      <c r="L54" s="79"/>
      <c r="M54" s="124"/>
      <c r="N54" s="124"/>
      <c r="O54" s="124"/>
      <c r="P54" s="124"/>
      <c r="Q54" s="124"/>
      <c r="R54" s="124"/>
      <c r="S54" s="124"/>
    </row>
    <row r="55" spans="1:19" s="138" customFormat="1" ht="28.8" hidden="1" x14ac:dyDescent="0.3">
      <c r="A55" s="78" t="s">
        <v>1512</v>
      </c>
      <c r="B55" s="133" t="s">
        <v>539</v>
      </c>
      <c r="C55" s="140" t="s">
        <v>1513</v>
      </c>
      <c r="D55" s="129" t="s">
        <v>1514</v>
      </c>
      <c r="E55" s="129" t="s">
        <v>1515</v>
      </c>
      <c r="F55" s="129" t="s">
        <v>1516</v>
      </c>
      <c r="G55" s="129" t="s">
        <v>1517</v>
      </c>
      <c r="H55" s="129" t="s">
        <v>1518</v>
      </c>
      <c r="I55" s="129" t="s">
        <v>1519</v>
      </c>
      <c r="J55" s="79">
        <v>45971</v>
      </c>
      <c r="K55" s="79"/>
      <c r="L55" s="79"/>
      <c r="M55" s="124"/>
      <c r="N55" s="124"/>
      <c r="O55" s="124"/>
      <c r="P55" s="124"/>
      <c r="Q55" s="124"/>
      <c r="R55" s="124"/>
      <c r="S55" s="124"/>
    </row>
    <row r="56" spans="1:19" s="138" customFormat="1" ht="28.8" hidden="1" x14ac:dyDescent="0.3">
      <c r="A56" s="78" t="s">
        <v>1520</v>
      </c>
      <c r="B56" s="133" t="s">
        <v>539</v>
      </c>
      <c r="C56" s="140" t="s">
        <v>1222</v>
      </c>
      <c r="D56" s="129" t="s">
        <v>1521</v>
      </c>
      <c r="E56" s="129" t="s">
        <v>1522</v>
      </c>
      <c r="F56" s="129" t="s">
        <v>1523</v>
      </c>
      <c r="G56" s="129" t="s">
        <v>1524</v>
      </c>
      <c r="H56" s="129" t="s">
        <v>1525</v>
      </c>
      <c r="I56" s="129" t="s">
        <v>1526</v>
      </c>
      <c r="J56" s="79">
        <v>45971</v>
      </c>
      <c r="K56" s="79"/>
      <c r="L56" s="79"/>
      <c r="M56" s="124"/>
      <c r="N56" s="124"/>
      <c r="O56" s="124"/>
      <c r="P56" s="124"/>
      <c r="Q56" s="124"/>
      <c r="R56" s="124"/>
      <c r="S56" s="124"/>
    </row>
    <row r="57" spans="1:19" s="138" customFormat="1" ht="28.8" hidden="1" x14ac:dyDescent="0.3">
      <c r="A57" s="78" t="s">
        <v>1527</v>
      </c>
      <c r="B57" s="133" t="s">
        <v>539</v>
      </c>
      <c r="C57" s="140" t="s">
        <v>1468</v>
      </c>
      <c r="D57" s="129" t="s">
        <v>1528</v>
      </c>
      <c r="E57" s="129" t="s">
        <v>1529</v>
      </c>
      <c r="F57" s="129" t="s">
        <v>1530</v>
      </c>
      <c r="G57" s="129" t="s">
        <v>1531</v>
      </c>
      <c r="H57" s="129" t="s">
        <v>1532</v>
      </c>
      <c r="I57" s="129" t="s">
        <v>1533</v>
      </c>
      <c r="J57" s="79">
        <v>45971</v>
      </c>
      <c r="K57" s="79"/>
      <c r="L57" s="79"/>
      <c r="M57" s="124"/>
      <c r="N57" s="124"/>
      <c r="O57" s="124"/>
      <c r="P57" s="124"/>
      <c r="Q57" s="124"/>
      <c r="R57" s="124"/>
      <c r="S57" s="124"/>
    </row>
    <row r="58" spans="1:19" s="138" customFormat="1" ht="43.2" hidden="1" x14ac:dyDescent="0.3">
      <c r="A58" s="78" t="s">
        <v>1534</v>
      </c>
      <c r="B58" s="133" t="s">
        <v>539</v>
      </c>
      <c r="C58" s="140" t="s">
        <v>1453</v>
      </c>
      <c r="D58" s="129" t="s">
        <v>1535</v>
      </c>
      <c r="E58" s="129" t="s">
        <v>1536</v>
      </c>
      <c r="F58" s="129" t="s">
        <v>1537</v>
      </c>
      <c r="G58" s="129" t="s">
        <v>1538</v>
      </c>
      <c r="H58" s="129" t="s">
        <v>1539</v>
      </c>
      <c r="I58" s="129" t="s">
        <v>1540</v>
      </c>
      <c r="J58" s="79">
        <v>45971</v>
      </c>
      <c r="K58" s="79"/>
      <c r="L58" s="79"/>
      <c r="M58" s="124"/>
      <c r="N58" s="124"/>
      <c r="O58" s="124"/>
      <c r="P58" s="124"/>
      <c r="Q58" s="124"/>
      <c r="R58" s="124"/>
      <c r="S58" s="124"/>
    </row>
    <row r="59" spans="1:19" s="138" customFormat="1" ht="28.8" hidden="1" x14ac:dyDescent="0.3">
      <c r="A59" s="78" t="s">
        <v>1541</v>
      </c>
      <c r="B59" s="133" t="s">
        <v>539</v>
      </c>
      <c r="C59" s="140" t="s">
        <v>1222</v>
      </c>
      <c r="D59" s="129" t="s">
        <v>1542</v>
      </c>
      <c r="E59" s="129" t="s">
        <v>1485</v>
      </c>
      <c r="F59" s="129" t="s">
        <v>1543</v>
      </c>
      <c r="G59" s="129" t="s">
        <v>1544</v>
      </c>
      <c r="H59" s="129" t="s">
        <v>1545</v>
      </c>
      <c r="I59" s="129" t="s">
        <v>1546</v>
      </c>
      <c r="J59" s="79">
        <v>45971</v>
      </c>
      <c r="K59" s="79"/>
      <c r="L59" s="79"/>
      <c r="M59" s="124"/>
      <c r="N59" s="124"/>
      <c r="O59" s="124"/>
      <c r="P59" s="124"/>
      <c r="Q59" s="124"/>
      <c r="R59" s="124"/>
      <c r="S59" s="124"/>
    </row>
    <row r="60" spans="1:19" s="138" customFormat="1" ht="107.25" hidden="1" customHeight="1" x14ac:dyDescent="0.3">
      <c r="A60" s="78" t="s">
        <v>1547</v>
      </c>
      <c r="B60" s="133" t="s">
        <v>539</v>
      </c>
      <c r="C60" s="140" t="s">
        <v>1491</v>
      </c>
      <c r="D60" s="129" t="s">
        <v>1548</v>
      </c>
      <c r="E60" s="129" t="s">
        <v>1549</v>
      </c>
      <c r="F60" s="129" t="s">
        <v>1550</v>
      </c>
      <c r="G60" s="129" t="s">
        <v>1551</v>
      </c>
      <c r="H60" s="129" t="s">
        <v>1552</v>
      </c>
      <c r="I60" s="129" t="s">
        <v>1553</v>
      </c>
      <c r="J60" s="79">
        <v>45971</v>
      </c>
      <c r="K60" s="79"/>
      <c r="L60" s="79"/>
      <c r="M60" s="124"/>
      <c r="N60" s="124"/>
      <c r="O60" s="124"/>
      <c r="P60" s="124"/>
      <c r="Q60" s="124"/>
      <c r="R60" s="124"/>
      <c r="S60" s="124"/>
    </row>
    <row r="61" spans="1:19" s="138" customFormat="1" ht="43.2" x14ac:dyDescent="0.3">
      <c r="A61" s="78" t="s">
        <v>1554</v>
      </c>
      <c r="B61" s="133" t="s">
        <v>539</v>
      </c>
      <c r="C61" s="140" t="s">
        <v>1244</v>
      </c>
      <c r="D61" s="129" t="s">
        <v>1555</v>
      </c>
      <c r="E61" s="153" t="s">
        <v>1409</v>
      </c>
      <c r="F61" s="129" t="s">
        <v>1556</v>
      </c>
      <c r="G61" s="129" t="s">
        <v>1557</v>
      </c>
      <c r="H61" s="156" t="s">
        <v>1248</v>
      </c>
      <c r="I61" s="140" t="s">
        <v>1249</v>
      </c>
      <c r="J61" s="79">
        <v>45971</v>
      </c>
      <c r="K61" s="79"/>
      <c r="L61" s="77">
        <v>7</v>
      </c>
      <c r="M61" s="124"/>
      <c r="N61" s="124"/>
      <c r="O61" s="124"/>
      <c r="P61" s="124"/>
      <c r="Q61" s="124"/>
      <c r="R61" s="124"/>
      <c r="S61" s="124"/>
    </row>
    <row r="62" spans="1:19" s="138" customFormat="1" ht="28.8" x14ac:dyDescent="0.3">
      <c r="A62" s="78" t="s">
        <v>1558</v>
      </c>
      <c r="B62" s="133" t="s">
        <v>539</v>
      </c>
      <c r="C62" s="140" t="s">
        <v>1283</v>
      </c>
      <c r="D62" s="129" t="s">
        <v>1559</v>
      </c>
      <c r="E62" s="154" t="s">
        <v>1560</v>
      </c>
      <c r="F62" s="129" t="s">
        <v>1561</v>
      </c>
      <c r="G62" s="129" t="s">
        <v>1562</v>
      </c>
      <c r="H62" s="155" t="s">
        <v>1287</v>
      </c>
      <c r="I62" s="140" t="s">
        <v>1288</v>
      </c>
      <c r="J62" s="79">
        <v>45971</v>
      </c>
      <c r="K62" s="79"/>
      <c r="L62" s="77">
        <v>7</v>
      </c>
      <c r="M62" s="124"/>
      <c r="N62" s="124"/>
      <c r="O62" s="124"/>
      <c r="P62" s="124"/>
      <c r="Q62" s="124"/>
      <c r="R62" s="124"/>
      <c r="S62" s="124"/>
    </row>
    <row r="63" spans="1:19" s="138" customFormat="1" ht="43.2" x14ac:dyDescent="0.3">
      <c r="A63" s="78" t="s">
        <v>1563</v>
      </c>
      <c r="B63" s="133" t="s">
        <v>539</v>
      </c>
      <c r="C63" s="140" t="s">
        <v>1206</v>
      </c>
      <c r="D63" s="129" t="s">
        <v>1564</v>
      </c>
      <c r="E63" s="154" t="s">
        <v>1565</v>
      </c>
      <c r="F63" s="129" t="s">
        <v>1566</v>
      </c>
      <c r="G63" s="129" t="s">
        <v>1567</v>
      </c>
      <c r="H63" s="155" t="s">
        <v>1255</v>
      </c>
      <c r="I63" s="140" t="s">
        <v>1212</v>
      </c>
      <c r="J63" s="79">
        <v>45971</v>
      </c>
      <c r="K63" s="79"/>
      <c r="L63" s="77">
        <v>7</v>
      </c>
      <c r="M63" s="124"/>
      <c r="N63" s="124"/>
      <c r="O63" s="124"/>
      <c r="P63" s="124"/>
      <c r="Q63" s="124"/>
      <c r="R63" s="124"/>
      <c r="S63" s="124"/>
    </row>
    <row r="64" spans="1:19" s="138" customFormat="1" ht="43.2" x14ac:dyDescent="0.3">
      <c r="A64" s="78" t="s">
        <v>1568</v>
      </c>
      <c r="B64" s="133" t="s">
        <v>539</v>
      </c>
      <c r="C64" s="140" t="s">
        <v>1300</v>
      </c>
      <c r="D64" s="129" t="s">
        <v>1569</v>
      </c>
      <c r="E64" s="153" t="s">
        <v>1368</v>
      </c>
      <c r="F64" s="129" t="s">
        <v>1570</v>
      </c>
      <c r="G64" s="129" t="s">
        <v>1571</v>
      </c>
      <c r="H64" s="156" t="s">
        <v>1287</v>
      </c>
      <c r="I64" s="140" t="s">
        <v>1288</v>
      </c>
      <c r="J64" s="79">
        <v>45971</v>
      </c>
      <c r="K64" s="79"/>
      <c r="L64" s="77">
        <v>7</v>
      </c>
      <c r="M64" s="124"/>
      <c r="N64" s="124"/>
      <c r="O64" s="124"/>
      <c r="P64" s="124"/>
      <c r="Q64" s="124"/>
      <c r="R64" s="124"/>
      <c r="S64" s="124"/>
    </row>
    <row r="65" spans="1:19" s="138" customFormat="1" ht="43.2" x14ac:dyDescent="0.3">
      <c r="A65" s="78" t="s">
        <v>1572</v>
      </c>
      <c r="B65" s="133" t="s">
        <v>539</v>
      </c>
      <c r="C65" s="140" t="s">
        <v>1230</v>
      </c>
      <c r="D65" s="129" t="s">
        <v>1573</v>
      </c>
      <c r="E65" s="154" t="s">
        <v>1574</v>
      </c>
      <c r="F65" s="129" t="s">
        <v>1575</v>
      </c>
      <c r="G65" s="129" t="s">
        <v>1576</v>
      </c>
      <c r="H65" s="156" t="s">
        <v>1294</v>
      </c>
      <c r="I65" s="140" t="s">
        <v>1235</v>
      </c>
      <c r="J65" s="79">
        <v>45971</v>
      </c>
      <c r="K65" s="79"/>
      <c r="L65" s="77">
        <v>7</v>
      </c>
      <c r="M65" s="124"/>
      <c r="N65" s="124"/>
      <c r="O65" s="124"/>
      <c r="P65" s="124"/>
      <c r="Q65" s="124"/>
      <c r="R65" s="124"/>
      <c r="S65" s="124"/>
    </row>
    <row r="66" spans="1:19" s="138" customFormat="1" ht="43.2" x14ac:dyDescent="0.3">
      <c r="A66" s="124" t="s">
        <v>1577</v>
      </c>
      <c r="B66" s="130" t="s">
        <v>167</v>
      </c>
      <c r="C66" s="140" t="s">
        <v>1206</v>
      </c>
      <c r="D66" s="129" t="s">
        <v>1578</v>
      </c>
      <c r="E66" s="153" t="s">
        <v>1579</v>
      </c>
      <c r="F66" s="129" t="s">
        <v>1580</v>
      </c>
      <c r="G66" s="129" t="s">
        <v>1581</v>
      </c>
      <c r="H66" s="155" t="s">
        <v>1255</v>
      </c>
      <c r="I66" s="140" t="s">
        <v>1212</v>
      </c>
      <c r="J66" s="79">
        <v>45971</v>
      </c>
      <c r="K66" s="79"/>
      <c r="L66" s="77">
        <v>5</v>
      </c>
      <c r="M66" s="124"/>
      <c r="N66" s="124"/>
      <c r="O66" s="124"/>
      <c r="P66" s="124"/>
      <c r="Q66" s="124"/>
      <c r="R66" s="124"/>
      <c r="S66" s="124"/>
    </row>
    <row r="67" spans="1:19" s="138" customFormat="1" ht="57.6" hidden="1" x14ac:dyDescent="0.3">
      <c r="A67" s="124" t="s">
        <v>1582</v>
      </c>
      <c r="B67" s="131" t="s">
        <v>219</v>
      </c>
      <c r="C67" s="140" t="s">
        <v>1583</v>
      </c>
      <c r="D67" s="129" t="s">
        <v>1584</v>
      </c>
      <c r="E67" s="129" t="s">
        <v>1585</v>
      </c>
      <c r="F67" s="129" t="s">
        <v>1586</v>
      </c>
      <c r="G67" s="129" t="s">
        <v>1587</v>
      </c>
      <c r="H67" s="154" t="s">
        <v>1294</v>
      </c>
      <c r="I67" s="129" t="s">
        <v>1588</v>
      </c>
      <c r="J67" s="79">
        <v>45971</v>
      </c>
      <c r="K67" s="79"/>
      <c r="L67" s="79"/>
      <c r="M67" s="124"/>
      <c r="N67" s="124"/>
      <c r="O67" s="124"/>
      <c r="P67" s="124"/>
      <c r="Q67" s="124"/>
      <c r="R67" s="124"/>
      <c r="S67" s="124"/>
    </row>
    <row r="68" spans="1:19" s="138" customFormat="1" ht="43.2" hidden="1" x14ac:dyDescent="0.3">
      <c r="A68" s="124" t="s">
        <v>1589</v>
      </c>
      <c r="B68" s="131" t="s">
        <v>219</v>
      </c>
      <c r="C68" s="140" t="s">
        <v>1468</v>
      </c>
      <c r="D68" s="129" t="s">
        <v>1590</v>
      </c>
      <c r="E68" s="129" t="s">
        <v>1591</v>
      </c>
      <c r="F68" s="129" t="s">
        <v>1592</v>
      </c>
      <c r="G68" s="129" t="s">
        <v>1593</v>
      </c>
      <c r="H68" s="129" t="s">
        <v>1594</v>
      </c>
      <c r="I68" s="129" t="s">
        <v>1595</v>
      </c>
      <c r="J68" s="79">
        <v>45971</v>
      </c>
      <c r="K68" s="79"/>
      <c r="L68" s="79"/>
      <c r="M68" s="124"/>
      <c r="N68" s="124"/>
      <c r="O68" s="124"/>
      <c r="P68" s="124"/>
      <c r="Q68" s="124"/>
      <c r="R68" s="124"/>
      <c r="S68" s="124"/>
    </row>
    <row r="69" spans="1:19" s="138" customFormat="1" ht="43.2" hidden="1" x14ac:dyDescent="0.3">
      <c r="A69" s="124" t="s">
        <v>1596</v>
      </c>
      <c r="B69" s="131" t="s">
        <v>219</v>
      </c>
      <c r="C69" s="140" t="s">
        <v>1214</v>
      </c>
      <c r="D69" s="129" t="s">
        <v>1597</v>
      </c>
      <c r="E69" s="129" t="s">
        <v>1598</v>
      </c>
      <c r="F69" s="129" t="s">
        <v>1599</v>
      </c>
      <c r="G69" s="129" t="s">
        <v>1600</v>
      </c>
      <c r="H69" s="129" t="s">
        <v>1601</v>
      </c>
      <c r="I69" s="129" t="s">
        <v>1602</v>
      </c>
      <c r="J69" s="79">
        <v>45971</v>
      </c>
      <c r="K69" s="79"/>
      <c r="L69" s="79"/>
      <c r="M69" s="124"/>
      <c r="N69" s="124"/>
      <c r="O69" s="124"/>
      <c r="P69" s="124"/>
      <c r="Q69" s="124"/>
      <c r="R69" s="124"/>
      <c r="S69" s="124"/>
    </row>
    <row r="70" spans="1:19" s="138" customFormat="1" ht="43.2" hidden="1" x14ac:dyDescent="0.3">
      <c r="A70" s="124" t="s">
        <v>1603</v>
      </c>
      <c r="B70" s="131" t="s">
        <v>219</v>
      </c>
      <c r="C70" s="140" t="s">
        <v>1214</v>
      </c>
      <c r="D70" s="129" t="s">
        <v>1604</v>
      </c>
      <c r="E70" s="129" t="s">
        <v>1605</v>
      </c>
      <c r="F70" s="129" t="s">
        <v>1606</v>
      </c>
      <c r="G70" s="129" t="s">
        <v>1607</v>
      </c>
      <c r="H70" s="129" t="s">
        <v>1608</v>
      </c>
      <c r="I70" s="129" t="s">
        <v>1609</v>
      </c>
      <c r="J70" s="79">
        <v>45971</v>
      </c>
      <c r="K70" s="79"/>
      <c r="L70" s="79"/>
      <c r="M70" s="124"/>
      <c r="N70" s="124"/>
      <c r="O70" s="124"/>
      <c r="P70" s="124"/>
      <c r="Q70" s="124"/>
      <c r="R70" s="124"/>
      <c r="S70" s="124"/>
    </row>
    <row r="71" spans="1:19" s="138" customFormat="1" ht="72" hidden="1" x14ac:dyDescent="0.3">
      <c r="A71" s="124" t="s">
        <v>1610</v>
      </c>
      <c r="B71" s="131" t="s">
        <v>219</v>
      </c>
      <c r="C71" s="140" t="s">
        <v>1372</v>
      </c>
      <c r="D71" s="129" t="s">
        <v>1611</v>
      </c>
      <c r="E71" s="129" t="s">
        <v>1612</v>
      </c>
      <c r="F71" s="129" t="s">
        <v>1613</v>
      </c>
      <c r="G71" s="129" t="s">
        <v>1614</v>
      </c>
      <c r="H71" s="129" t="s">
        <v>1615</v>
      </c>
      <c r="I71" s="129" t="s">
        <v>1616</v>
      </c>
      <c r="J71" s="79">
        <v>45971</v>
      </c>
      <c r="K71" s="79"/>
      <c r="L71" s="79"/>
      <c r="M71" s="124"/>
      <c r="N71" s="124"/>
      <c r="O71" s="124"/>
      <c r="P71" s="124"/>
      <c r="Q71" s="124"/>
      <c r="R71" s="124"/>
      <c r="S71" s="124"/>
    </row>
    <row r="72" spans="1:19" s="138" customFormat="1" ht="72" hidden="1" x14ac:dyDescent="0.3">
      <c r="A72" s="124" t="s">
        <v>1617</v>
      </c>
      <c r="B72" s="131" t="s">
        <v>219</v>
      </c>
      <c r="C72" s="140" t="s">
        <v>1618</v>
      </c>
      <c r="D72" s="129" t="s">
        <v>1619</v>
      </c>
      <c r="E72" s="129" t="s">
        <v>1620</v>
      </c>
      <c r="F72" s="129" t="s">
        <v>1621</v>
      </c>
      <c r="G72" s="129" t="s">
        <v>1622</v>
      </c>
      <c r="H72" s="129" t="s">
        <v>1623</v>
      </c>
      <c r="I72" s="129" t="s">
        <v>1624</v>
      </c>
      <c r="J72" s="79">
        <v>45971</v>
      </c>
      <c r="K72" s="79"/>
      <c r="L72" s="79"/>
      <c r="M72" s="124"/>
      <c r="N72" s="124"/>
      <c r="O72" s="124"/>
      <c r="P72" s="124"/>
      <c r="Q72" s="124"/>
      <c r="R72" s="124"/>
      <c r="S72" s="124"/>
    </row>
    <row r="73" spans="1:19" s="138" customFormat="1" ht="72" hidden="1" x14ac:dyDescent="0.3">
      <c r="A73" s="124" t="s">
        <v>1625</v>
      </c>
      <c r="B73" s="131" t="s">
        <v>219</v>
      </c>
      <c r="C73" s="140" t="s">
        <v>1222</v>
      </c>
      <c r="D73" s="129" t="s">
        <v>1626</v>
      </c>
      <c r="E73" s="129" t="s">
        <v>1627</v>
      </c>
      <c r="F73" s="129" t="s">
        <v>1628</v>
      </c>
      <c r="G73" s="129" t="s">
        <v>1629</v>
      </c>
      <c r="H73" s="129" t="s">
        <v>1630</v>
      </c>
      <c r="I73" s="129" t="s">
        <v>1631</v>
      </c>
      <c r="J73" s="79">
        <v>45971</v>
      </c>
      <c r="K73" s="79"/>
      <c r="L73" s="79"/>
      <c r="M73" s="124"/>
      <c r="N73" s="124"/>
      <c r="O73" s="124"/>
      <c r="P73" s="124"/>
      <c r="Q73" s="124"/>
      <c r="R73" s="124"/>
      <c r="S73" s="124"/>
    </row>
    <row r="74" spans="1:19" ht="57.6" hidden="1" x14ac:dyDescent="0.3">
      <c r="A74" s="124" t="s">
        <v>1632</v>
      </c>
      <c r="B74" s="131" t="s">
        <v>219</v>
      </c>
      <c r="C74" s="140" t="s">
        <v>1214</v>
      </c>
      <c r="D74" s="129" t="s">
        <v>1633</v>
      </c>
      <c r="E74" s="129" t="s">
        <v>1634</v>
      </c>
      <c r="F74" s="129" t="s">
        <v>1635</v>
      </c>
      <c r="G74" s="129" t="s">
        <v>1636</v>
      </c>
      <c r="H74" s="129" t="s">
        <v>1637</v>
      </c>
      <c r="I74" s="129" t="s">
        <v>1638</v>
      </c>
      <c r="J74" s="79">
        <v>45972</v>
      </c>
      <c r="K74" s="79"/>
      <c r="L74" s="79"/>
      <c r="M74" s="80"/>
      <c r="N74" s="80"/>
      <c r="O74" s="80"/>
      <c r="P74" s="80"/>
      <c r="Q74" s="80"/>
      <c r="R74" s="80"/>
      <c r="S74" s="80"/>
    </row>
    <row r="75" spans="1:19" ht="86.4" hidden="1" x14ac:dyDescent="0.3">
      <c r="A75" s="124" t="s">
        <v>1639</v>
      </c>
      <c r="B75" s="131" t="s">
        <v>219</v>
      </c>
      <c r="C75" s="140" t="s">
        <v>1372</v>
      </c>
      <c r="D75" s="129" t="s">
        <v>1640</v>
      </c>
      <c r="E75" s="129" t="s">
        <v>1641</v>
      </c>
      <c r="F75" s="129" t="s">
        <v>1642</v>
      </c>
      <c r="G75" s="129" t="s">
        <v>1643</v>
      </c>
      <c r="H75" s="129" t="s">
        <v>1644</v>
      </c>
      <c r="I75" s="129" t="s">
        <v>1645</v>
      </c>
      <c r="J75" s="79">
        <v>45972</v>
      </c>
      <c r="K75" s="79"/>
      <c r="L75" s="79"/>
      <c r="M75" s="80"/>
      <c r="N75" s="80"/>
      <c r="O75" s="80"/>
      <c r="P75" s="80"/>
      <c r="Q75" s="80"/>
      <c r="R75" s="80"/>
      <c r="S75" s="80"/>
    </row>
    <row r="76" spans="1:19" ht="72" hidden="1" x14ac:dyDescent="0.3">
      <c r="A76" s="124" t="s">
        <v>1646</v>
      </c>
      <c r="B76" s="131" t="s">
        <v>219</v>
      </c>
      <c r="C76" s="140" t="s">
        <v>1222</v>
      </c>
      <c r="D76" s="129" t="s">
        <v>1647</v>
      </c>
      <c r="E76" s="129" t="s">
        <v>1648</v>
      </c>
      <c r="F76" s="129" t="s">
        <v>1649</v>
      </c>
      <c r="G76" s="129" t="s">
        <v>1650</v>
      </c>
      <c r="H76" s="129" t="s">
        <v>1651</v>
      </c>
      <c r="I76" s="129" t="s">
        <v>1652</v>
      </c>
      <c r="J76" s="79">
        <v>45972</v>
      </c>
      <c r="K76" s="79"/>
      <c r="L76" s="79"/>
      <c r="M76" s="80"/>
      <c r="N76" s="80"/>
      <c r="O76" s="80"/>
      <c r="P76" s="80"/>
      <c r="Q76" s="80"/>
      <c r="R76" s="80"/>
      <c r="S76" s="80"/>
    </row>
    <row r="77" spans="1:19" ht="72" hidden="1" x14ac:dyDescent="0.3">
      <c r="A77" s="124" t="s">
        <v>1653</v>
      </c>
      <c r="B77" s="131" t="s">
        <v>219</v>
      </c>
      <c r="C77" s="140" t="s">
        <v>1314</v>
      </c>
      <c r="D77" s="129" t="s">
        <v>1654</v>
      </c>
      <c r="E77" s="129" t="s">
        <v>1598</v>
      </c>
      <c r="F77" s="129" t="s">
        <v>1655</v>
      </c>
      <c r="G77" s="129" t="s">
        <v>1656</v>
      </c>
      <c r="H77" s="129" t="s">
        <v>1657</v>
      </c>
      <c r="I77" s="129" t="s">
        <v>1658</v>
      </c>
      <c r="J77" s="79">
        <v>45972</v>
      </c>
      <c r="K77" s="79"/>
      <c r="L77" s="79"/>
      <c r="M77" s="80"/>
      <c r="N77" s="80"/>
      <c r="O77" s="80"/>
      <c r="P77" s="80"/>
      <c r="Q77" s="80"/>
      <c r="R77" s="80"/>
      <c r="S77" s="80"/>
    </row>
    <row r="78" spans="1:19" ht="86.4" hidden="1" x14ac:dyDescent="0.3">
      <c r="A78" s="124" t="s">
        <v>1659</v>
      </c>
      <c r="B78" s="131" t="s">
        <v>219</v>
      </c>
      <c r="C78" s="140" t="s">
        <v>1372</v>
      </c>
      <c r="D78" s="129" t="s">
        <v>1660</v>
      </c>
      <c r="E78" s="129" t="s">
        <v>1661</v>
      </c>
      <c r="F78" s="129" t="s">
        <v>1662</v>
      </c>
      <c r="G78" s="129" t="s">
        <v>1663</v>
      </c>
      <c r="H78" s="129" t="s">
        <v>1664</v>
      </c>
      <c r="I78" s="129" t="s">
        <v>1665</v>
      </c>
      <c r="J78" s="79">
        <v>45972</v>
      </c>
      <c r="K78" s="79"/>
      <c r="L78" s="79"/>
      <c r="M78" s="80"/>
      <c r="N78" s="80"/>
      <c r="O78" s="80"/>
      <c r="P78" s="80"/>
      <c r="Q78" s="80"/>
      <c r="R78" s="80"/>
      <c r="S78" s="80"/>
    </row>
    <row r="79" spans="1:19" ht="72" hidden="1" x14ac:dyDescent="0.3">
      <c r="A79" s="124" t="s">
        <v>1666</v>
      </c>
      <c r="B79" s="131" t="s">
        <v>219</v>
      </c>
      <c r="C79" s="140" t="s">
        <v>1667</v>
      </c>
      <c r="D79" s="129" t="s">
        <v>1668</v>
      </c>
      <c r="E79" s="129" t="s">
        <v>1669</v>
      </c>
      <c r="F79" s="129" t="s">
        <v>1670</v>
      </c>
      <c r="G79" s="129" t="s">
        <v>1671</v>
      </c>
      <c r="H79" s="129" t="s">
        <v>1672</v>
      </c>
      <c r="I79" s="129" t="s">
        <v>1673</v>
      </c>
      <c r="J79" s="79">
        <v>45972</v>
      </c>
      <c r="K79" s="79"/>
      <c r="L79" s="79"/>
      <c r="M79" s="80"/>
      <c r="N79" s="80"/>
      <c r="O79" s="80"/>
      <c r="P79" s="80"/>
      <c r="Q79" s="80"/>
      <c r="R79" s="80"/>
      <c r="S79" s="80"/>
    </row>
    <row r="80" spans="1:19" ht="72" hidden="1" x14ac:dyDescent="0.3">
      <c r="A80" s="124" t="s">
        <v>1674</v>
      </c>
      <c r="B80" s="131" t="s">
        <v>219</v>
      </c>
      <c r="C80" s="140" t="s">
        <v>1222</v>
      </c>
      <c r="D80" s="129" t="s">
        <v>1675</v>
      </c>
      <c r="E80" s="129" t="s">
        <v>1676</v>
      </c>
      <c r="F80" s="129" t="s">
        <v>1677</v>
      </c>
      <c r="G80" s="129" t="s">
        <v>1678</v>
      </c>
      <c r="H80" s="129" t="s">
        <v>1679</v>
      </c>
      <c r="I80" s="129" t="s">
        <v>1680</v>
      </c>
      <c r="J80" s="79">
        <v>45972</v>
      </c>
      <c r="K80" s="79"/>
      <c r="L80" s="79"/>
      <c r="M80" s="80"/>
      <c r="N80" s="80"/>
      <c r="O80" s="80"/>
      <c r="P80" s="80"/>
      <c r="Q80" s="80"/>
      <c r="R80" s="80"/>
      <c r="S80" s="80"/>
    </row>
    <row r="81" spans="1:19" ht="72" hidden="1" x14ac:dyDescent="0.3">
      <c r="A81" s="124" t="s">
        <v>1681</v>
      </c>
      <c r="B81" s="131" t="s">
        <v>219</v>
      </c>
      <c r="C81" s="140" t="s">
        <v>1214</v>
      </c>
      <c r="D81" s="129" t="s">
        <v>1682</v>
      </c>
      <c r="E81" s="129" t="s">
        <v>1683</v>
      </c>
      <c r="F81" s="129" t="s">
        <v>1684</v>
      </c>
      <c r="G81" s="129" t="s">
        <v>1685</v>
      </c>
      <c r="H81" s="129" t="s">
        <v>1686</v>
      </c>
      <c r="I81" s="129" t="s">
        <v>1687</v>
      </c>
      <c r="J81" s="79">
        <v>45972</v>
      </c>
      <c r="K81" s="79"/>
      <c r="L81" s="79"/>
      <c r="M81" s="80"/>
      <c r="N81" s="80"/>
      <c r="O81" s="80"/>
      <c r="P81" s="80"/>
      <c r="Q81" s="80"/>
      <c r="R81" s="80"/>
      <c r="S81" s="80"/>
    </row>
    <row r="82" spans="1:19" ht="43.2" x14ac:dyDescent="0.3">
      <c r="A82" s="124" t="s">
        <v>1688</v>
      </c>
      <c r="B82" s="131" t="s">
        <v>219</v>
      </c>
      <c r="C82" s="140" t="s">
        <v>1230</v>
      </c>
      <c r="D82" s="129" t="s">
        <v>1689</v>
      </c>
      <c r="E82" s="153" t="s">
        <v>1690</v>
      </c>
      <c r="F82" s="129" t="s">
        <v>1691</v>
      </c>
      <c r="G82" s="129" t="s">
        <v>1692</v>
      </c>
      <c r="H82" s="129" t="s">
        <v>1294</v>
      </c>
      <c r="I82" s="140" t="s">
        <v>1235</v>
      </c>
      <c r="J82" s="79">
        <v>45972</v>
      </c>
      <c r="K82" s="79"/>
      <c r="L82" s="77">
        <v>5</v>
      </c>
      <c r="M82" s="80"/>
      <c r="N82" s="80"/>
      <c r="O82" s="80"/>
      <c r="P82" s="80"/>
      <c r="Q82" s="80"/>
      <c r="R82" s="80"/>
      <c r="S82" s="80"/>
    </row>
    <row r="83" spans="1:19" ht="43.2" x14ac:dyDescent="0.3">
      <c r="A83" s="124" t="s">
        <v>1693</v>
      </c>
      <c r="B83" s="131" t="s">
        <v>219</v>
      </c>
      <c r="C83" s="140" t="s">
        <v>1237</v>
      </c>
      <c r="D83" s="129" t="s">
        <v>1694</v>
      </c>
      <c r="E83" s="154" t="s">
        <v>1695</v>
      </c>
      <c r="F83" s="129" t="s">
        <v>1696</v>
      </c>
      <c r="G83" s="129" t="s">
        <v>1697</v>
      </c>
      <c r="H83" s="156" t="s">
        <v>1241</v>
      </c>
      <c r="I83" s="140" t="s">
        <v>1242</v>
      </c>
      <c r="J83" s="79">
        <v>45972</v>
      </c>
      <c r="K83" s="79"/>
      <c r="L83" s="77">
        <v>5</v>
      </c>
      <c r="M83" s="80"/>
      <c r="N83" s="80"/>
      <c r="O83" s="80"/>
      <c r="P83" s="80"/>
      <c r="Q83" s="80"/>
      <c r="R83" s="80"/>
      <c r="S83" s="80"/>
    </row>
    <row r="84" spans="1:19" ht="28.8" x14ac:dyDescent="0.3">
      <c r="A84" s="124" t="s">
        <v>1698</v>
      </c>
      <c r="B84" s="131" t="s">
        <v>219</v>
      </c>
      <c r="C84" s="140" t="s">
        <v>1244</v>
      </c>
      <c r="D84" s="129" t="s">
        <v>1699</v>
      </c>
      <c r="E84" s="153" t="s">
        <v>1700</v>
      </c>
      <c r="F84" s="129" t="s">
        <v>1701</v>
      </c>
      <c r="G84" s="129" t="s">
        <v>1702</v>
      </c>
      <c r="H84" s="155" t="s">
        <v>1248</v>
      </c>
      <c r="I84" s="140" t="s">
        <v>1249</v>
      </c>
      <c r="J84" s="79">
        <v>45972</v>
      </c>
      <c r="K84" s="79"/>
      <c r="L84" s="77">
        <v>5</v>
      </c>
      <c r="M84" s="80"/>
      <c r="N84" s="80"/>
      <c r="O84" s="80"/>
      <c r="P84" s="80"/>
      <c r="Q84" s="80"/>
      <c r="R84" s="80"/>
      <c r="S84" s="80"/>
    </row>
    <row r="85" spans="1:19" ht="57.6" x14ac:dyDescent="0.3">
      <c r="A85" s="124" t="s">
        <v>1703</v>
      </c>
      <c r="B85" s="131" t="s">
        <v>219</v>
      </c>
      <c r="C85" s="140" t="s">
        <v>1206</v>
      </c>
      <c r="D85" s="129" t="s">
        <v>1704</v>
      </c>
      <c r="E85" s="154" t="s">
        <v>1705</v>
      </c>
      <c r="F85" s="129" t="s">
        <v>1706</v>
      </c>
      <c r="G85" s="129" t="s">
        <v>1707</v>
      </c>
      <c r="H85" s="155" t="s">
        <v>1255</v>
      </c>
      <c r="I85" s="140" t="s">
        <v>1212</v>
      </c>
      <c r="J85" s="79">
        <v>45972</v>
      </c>
      <c r="K85" s="79"/>
      <c r="L85" s="77">
        <v>5</v>
      </c>
      <c r="M85" s="80"/>
      <c r="N85" s="80"/>
      <c r="O85" s="80"/>
      <c r="P85" s="80"/>
      <c r="Q85" s="80"/>
      <c r="R85" s="80"/>
      <c r="S85" s="80"/>
    </row>
    <row r="86" spans="1:19" ht="43.2" x14ac:dyDescent="0.3">
      <c r="A86" s="124" t="s">
        <v>1708</v>
      </c>
      <c r="B86" s="131" t="s">
        <v>219</v>
      </c>
      <c r="C86" s="140" t="s">
        <v>1257</v>
      </c>
      <c r="D86" s="129" t="s">
        <v>1709</v>
      </c>
      <c r="E86" s="154" t="s">
        <v>1579</v>
      </c>
      <c r="F86" s="129" t="s">
        <v>1710</v>
      </c>
      <c r="G86" s="129" t="s">
        <v>1711</v>
      </c>
      <c r="H86" s="156" t="s">
        <v>1241</v>
      </c>
      <c r="I86" s="140" t="s">
        <v>1262</v>
      </c>
      <c r="J86" s="79">
        <v>45972</v>
      </c>
      <c r="K86" s="79"/>
      <c r="L86" s="77">
        <v>5</v>
      </c>
      <c r="M86" s="80"/>
      <c r="N86" s="80"/>
      <c r="O86" s="80"/>
      <c r="P86" s="80"/>
      <c r="Q86" s="80"/>
      <c r="R86" s="80"/>
      <c r="S86" s="80"/>
    </row>
    <row r="87" spans="1:19" ht="43.2" x14ac:dyDescent="0.3">
      <c r="A87" s="124" t="s">
        <v>1712</v>
      </c>
      <c r="B87" s="131" t="s">
        <v>219</v>
      </c>
      <c r="C87" s="140" t="s">
        <v>1237</v>
      </c>
      <c r="D87" s="129" t="s">
        <v>1713</v>
      </c>
      <c r="E87" s="153" t="s">
        <v>1714</v>
      </c>
      <c r="F87" s="129" t="s">
        <v>1715</v>
      </c>
      <c r="G87" s="129" t="s">
        <v>1716</v>
      </c>
      <c r="H87" s="156" t="s">
        <v>1241</v>
      </c>
      <c r="I87" s="140" t="s">
        <v>1242</v>
      </c>
      <c r="J87" s="79">
        <v>45972</v>
      </c>
      <c r="K87" s="79"/>
      <c r="L87" s="77">
        <v>5</v>
      </c>
      <c r="M87" s="80"/>
      <c r="N87" s="80"/>
      <c r="O87" s="80"/>
      <c r="P87" s="80"/>
      <c r="Q87" s="80"/>
      <c r="R87" s="80"/>
      <c r="S87" s="80"/>
    </row>
    <row r="88" spans="1:19" ht="72" hidden="1" x14ac:dyDescent="0.3">
      <c r="A88" s="124" t="s">
        <v>1717</v>
      </c>
      <c r="B88" s="132" t="s">
        <v>305</v>
      </c>
      <c r="C88" s="140" t="s">
        <v>1214</v>
      </c>
      <c r="D88" s="129" t="s">
        <v>1718</v>
      </c>
      <c r="E88" s="129" t="s">
        <v>1719</v>
      </c>
      <c r="F88" s="129" t="s">
        <v>1720</v>
      </c>
      <c r="G88" s="129" t="s">
        <v>1721</v>
      </c>
      <c r="H88" s="129" t="s">
        <v>1722</v>
      </c>
      <c r="I88" s="129" t="s">
        <v>1723</v>
      </c>
      <c r="J88" s="79">
        <v>45972</v>
      </c>
      <c r="K88" s="79"/>
      <c r="L88" s="79"/>
      <c r="M88" s="80"/>
      <c r="N88" s="80"/>
      <c r="O88" s="80"/>
      <c r="P88" s="80"/>
      <c r="Q88" s="80"/>
      <c r="R88" s="80"/>
      <c r="S88" s="80"/>
    </row>
    <row r="89" spans="1:19" ht="72" hidden="1" x14ac:dyDescent="0.3">
      <c r="A89" s="124" t="s">
        <v>1724</v>
      </c>
      <c r="B89" s="132" t="s">
        <v>305</v>
      </c>
      <c r="C89" s="140" t="s">
        <v>1372</v>
      </c>
      <c r="D89" s="129" t="s">
        <v>1725</v>
      </c>
      <c r="E89" s="129" t="s">
        <v>1612</v>
      </c>
      <c r="F89" s="129" t="s">
        <v>1726</v>
      </c>
      <c r="G89" s="129" t="s">
        <v>1727</v>
      </c>
      <c r="H89" s="129" t="s">
        <v>1728</v>
      </c>
      <c r="I89" s="129" t="s">
        <v>1729</v>
      </c>
      <c r="J89" s="79">
        <v>45972</v>
      </c>
      <c r="K89" s="79"/>
      <c r="L89" s="79"/>
      <c r="M89" s="80"/>
      <c r="N89" s="80"/>
      <c r="O89" s="80"/>
      <c r="P89" s="80"/>
      <c r="Q89" s="80"/>
      <c r="R89" s="80"/>
      <c r="S89" s="80"/>
    </row>
    <row r="90" spans="1:19" ht="43.2" x14ac:dyDescent="0.3">
      <c r="A90" s="124" t="s">
        <v>1730</v>
      </c>
      <c r="B90" s="132" t="s">
        <v>305</v>
      </c>
      <c r="C90" s="140" t="s">
        <v>1257</v>
      </c>
      <c r="D90" s="129" t="s">
        <v>1731</v>
      </c>
      <c r="E90" s="153" t="s">
        <v>1732</v>
      </c>
      <c r="F90" s="129" t="s">
        <v>1733</v>
      </c>
      <c r="G90" s="129" t="s">
        <v>1734</v>
      </c>
      <c r="H90" s="156" t="s">
        <v>1261</v>
      </c>
      <c r="I90" s="140" t="s">
        <v>1262</v>
      </c>
      <c r="J90" s="79">
        <v>45972</v>
      </c>
      <c r="K90" s="79"/>
      <c r="L90" s="77">
        <v>7</v>
      </c>
      <c r="M90" s="80"/>
      <c r="N90" s="80"/>
      <c r="O90" s="80"/>
      <c r="P90" s="80"/>
      <c r="Q90" s="80"/>
      <c r="R90" s="80"/>
      <c r="S90" s="80"/>
    </row>
    <row r="91" spans="1:19" ht="28.8" x14ac:dyDescent="0.3">
      <c r="A91" s="124" t="s">
        <v>1735</v>
      </c>
      <c r="B91" s="132" t="s">
        <v>305</v>
      </c>
      <c r="C91" s="140" t="s">
        <v>1283</v>
      </c>
      <c r="D91" s="129" t="s">
        <v>1736</v>
      </c>
      <c r="E91" s="154" t="s">
        <v>1737</v>
      </c>
      <c r="F91" s="129" t="s">
        <v>1738</v>
      </c>
      <c r="G91" s="129" t="s">
        <v>1739</v>
      </c>
      <c r="H91" s="155" t="s">
        <v>1294</v>
      </c>
      <c r="I91" s="140" t="s">
        <v>1288</v>
      </c>
      <c r="J91" s="79">
        <v>45972</v>
      </c>
      <c r="K91" s="79"/>
      <c r="L91" s="77">
        <v>7</v>
      </c>
      <c r="M91" s="80"/>
      <c r="N91" s="80"/>
      <c r="O91" s="80"/>
      <c r="P91" s="80"/>
      <c r="Q91" s="80"/>
      <c r="R91" s="80"/>
      <c r="S91" s="80"/>
    </row>
    <row r="92" spans="1:19" ht="43.2" x14ac:dyDescent="0.3">
      <c r="A92" s="124" t="s">
        <v>1740</v>
      </c>
      <c r="B92" s="132" t="s">
        <v>305</v>
      </c>
      <c r="C92" s="140" t="s">
        <v>1230</v>
      </c>
      <c r="D92" s="129" t="s">
        <v>1741</v>
      </c>
      <c r="E92" s="154" t="s">
        <v>1742</v>
      </c>
      <c r="F92" s="129" t="s">
        <v>1743</v>
      </c>
      <c r="G92" s="129" t="s">
        <v>1744</v>
      </c>
      <c r="H92" s="156" t="s">
        <v>1294</v>
      </c>
      <c r="I92" s="140" t="s">
        <v>1235</v>
      </c>
      <c r="J92" s="79">
        <v>45972</v>
      </c>
      <c r="K92" s="79"/>
      <c r="L92" s="77">
        <v>7</v>
      </c>
      <c r="M92" s="80"/>
      <c r="N92" s="80"/>
      <c r="O92" s="80"/>
      <c r="P92" s="80"/>
      <c r="Q92" s="80"/>
      <c r="R92" s="80"/>
      <c r="S92" s="80"/>
    </row>
    <row r="93" spans="1:19" ht="43.2" x14ac:dyDescent="0.3">
      <c r="A93" s="124" t="s">
        <v>1745</v>
      </c>
      <c r="B93" s="132" t="s">
        <v>305</v>
      </c>
      <c r="C93" s="140" t="s">
        <v>1237</v>
      </c>
      <c r="D93" s="129" t="s">
        <v>1746</v>
      </c>
      <c r="E93" s="153" t="s">
        <v>1695</v>
      </c>
      <c r="F93" s="129" t="s">
        <v>1747</v>
      </c>
      <c r="G93" s="129" t="s">
        <v>1748</v>
      </c>
      <c r="H93" s="155" t="s">
        <v>1241</v>
      </c>
      <c r="I93" s="140" t="s">
        <v>1242</v>
      </c>
      <c r="J93" s="79">
        <v>45972</v>
      </c>
      <c r="K93" s="79"/>
      <c r="L93" s="77">
        <v>7</v>
      </c>
      <c r="M93" s="80"/>
      <c r="N93" s="80"/>
      <c r="O93" s="80"/>
      <c r="P93" s="80"/>
      <c r="Q93" s="80"/>
      <c r="R93" s="80"/>
      <c r="S93" s="80"/>
    </row>
    <row r="94" spans="1:19" ht="28.8" x14ac:dyDescent="0.3">
      <c r="A94" s="124" t="s">
        <v>1749</v>
      </c>
      <c r="B94" s="132" t="s">
        <v>305</v>
      </c>
      <c r="C94" s="140" t="s">
        <v>1300</v>
      </c>
      <c r="D94" s="129" t="s">
        <v>1750</v>
      </c>
      <c r="E94" s="154" t="s">
        <v>1751</v>
      </c>
      <c r="F94" s="129" t="s">
        <v>1752</v>
      </c>
      <c r="G94" s="129" t="s">
        <v>1753</v>
      </c>
      <c r="H94" s="156" t="s">
        <v>1287</v>
      </c>
      <c r="I94" s="146" t="s">
        <v>1288</v>
      </c>
      <c r="J94" s="79">
        <v>45972</v>
      </c>
      <c r="K94" s="79"/>
      <c r="L94" s="77">
        <v>7</v>
      </c>
      <c r="M94" s="80"/>
      <c r="N94" s="80"/>
      <c r="O94" s="80"/>
      <c r="P94" s="80"/>
      <c r="Q94" s="80"/>
      <c r="R94" s="80"/>
      <c r="S94" s="80"/>
    </row>
    <row r="95" spans="1:19" ht="43.2" x14ac:dyDescent="0.3">
      <c r="A95" s="124" t="s">
        <v>1754</v>
      </c>
      <c r="B95" s="132" t="s">
        <v>305</v>
      </c>
      <c r="C95" s="140" t="s">
        <v>1206</v>
      </c>
      <c r="D95" s="129" t="s">
        <v>1755</v>
      </c>
      <c r="E95" s="154" t="s">
        <v>1756</v>
      </c>
      <c r="F95" s="129" t="s">
        <v>1757</v>
      </c>
      <c r="G95" s="129" t="s">
        <v>1758</v>
      </c>
      <c r="H95" s="155" t="s">
        <v>1255</v>
      </c>
      <c r="I95" s="146" t="s">
        <v>1212</v>
      </c>
      <c r="J95" s="79">
        <v>45972</v>
      </c>
      <c r="K95" s="79"/>
      <c r="L95" s="77">
        <v>7</v>
      </c>
      <c r="M95" s="80"/>
      <c r="N95" s="80"/>
      <c r="O95" s="80"/>
      <c r="P95" s="80"/>
      <c r="Q95" s="80"/>
      <c r="R95" s="80"/>
      <c r="S95" s="80"/>
    </row>
    <row r="96" spans="1:19" ht="28.8" x14ac:dyDescent="0.3">
      <c r="A96" s="124" t="s">
        <v>1759</v>
      </c>
      <c r="B96" s="132" t="s">
        <v>305</v>
      </c>
      <c r="C96" s="140" t="s">
        <v>1244</v>
      </c>
      <c r="D96" s="129" t="s">
        <v>1760</v>
      </c>
      <c r="E96" s="153" t="s">
        <v>1737</v>
      </c>
      <c r="F96" s="129" t="s">
        <v>1761</v>
      </c>
      <c r="G96" s="129" t="s">
        <v>1762</v>
      </c>
      <c r="H96" s="155" t="s">
        <v>1248</v>
      </c>
      <c r="I96" s="140" t="s">
        <v>1249</v>
      </c>
      <c r="J96" s="79">
        <v>45972</v>
      </c>
      <c r="K96" s="79"/>
      <c r="L96" s="77">
        <v>7</v>
      </c>
      <c r="M96" s="80"/>
      <c r="N96" s="80"/>
      <c r="O96" s="80"/>
      <c r="P96" s="80"/>
      <c r="Q96" s="80"/>
      <c r="R96" s="80"/>
      <c r="S96" s="80"/>
    </row>
    <row r="97" spans="1:19" ht="28.8" x14ac:dyDescent="0.3">
      <c r="A97" s="124" t="s">
        <v>1763</v>
      </c>
      <c r="B97" s="132" t="s">
        <v>305</v>
      </c>
      <c r="C97" s="140" t="s">
        <v>1257</v>
      </c>
      <c r="D97" s="129" t="s">
        <v>1764</v>
      </c>
      <c r="E97" s="154" t="s">
        <v>1751</v>
      </c>
      <c r="F97" s="129" t="s">
        <v>1765</v>
      </c>
      <c r="G97" s="129" t="s">
        <v>1766</v>
      </c>
      <c r="H97" s="155" t="s">
        <v>1261</v>
      </c>
      <c r="I97" s="140" t="s">
        <v>1262</v>
      </c>
      <c r="J97" s="79">
        <v>45972</v>
      </c>
      <c r="K97" s="79"/>
      <c r="L97" s="77">
        <v>7</v>
      </c>
      <c r="M97" s="80"/>
      <c r="N97" s="80"/>
      <c r="O97" s="80"/>
      <c r="P97" s="80"/>
      <c r="Q97" s="80"/>
      <c r="R97" s="80"/>
      <c r="S97" s="80"/>
    </row>
    <row r="98" spans="1:19" ht="43.2" x14ac:dyDescent="0.3">
      <c r="A98" s="124" t="s">
        <v>1767</v>
      </c>
      <c r="B98" s="132" t="s">
        <v>305</v>
      </c>
      <c r="C98" s="140" t="s">
        <v>1230</v>
      </c>
      <c r="D98" s="129" t="s">
        <v>1768</v>
      </c>
      <c r="E98" s="154" t="s">
        <v>1695</v>
      </c>
      <c r="F98" s="129" t="s">
        <v>1769</v>
      </c>
      <c r="G98" s="129" t="s">
        <v>1770</v>
      </c>
      <c r="H98" s="156" t="s">
        <v>1294</v>
      </c>
      <c r="I98" s="140" t="s">
        <v>1235</v>
      </c>
      <c r="J98" s="79">
        <v>45972</v>
      </c>
      <c r="K98" s="79"/>
      <c r="L98" s="77">
        <v>7</v>
      </c>
      <c r="M98" s="80"/>
      <c r="N98" s="80"/>
      <c r="O98" s="80"/>
      <c r="P98" s="80"/>
      <c r="Q98" s="80"/>
      <c r="R98" s="80"/>
      <c r="S98" s="80"/>
    </row>
    <row r="99" spans="1:19" ht="100.8" hidden="1" x14ac:dyDescent="0.3">
      <c r="A99" s="124" t="s">
        <v>1771</v>
      </c>
      <c r="B99" s="133" t="s">
        <v>539</v>
      </c>
      <c r="C99" s="140" t="s">
        <v>1222</v>
      </c>
      <c r="D99" s="129" t="s">
        <v>1772</v>
      </c>
      <c r="E99" s="129" t="s">
        <v>1773</v>
      </c>
      <c r="F99" s="129" t="s">
        <v>1774</v>
      </c>
      <c r="G99" s="129" t="s">
        <v>1775</v>
      </c>
      <c r="H99" s="154" t="s">
        <v>1287</v>
      </c>
      <c r="I99" s="129" t="s">
        <v>1776</v>
      </c>
      <c r="J99" s="79">
        <v>45972</v>
      </c>
      <c r="K99" s="79"/>
      <c r="L99" s="79"/>
      <c r="M99" s="80"/>
      <c r="N99" s="80"/>
      <c r="O99" s="80"/>
      <c r="P99" s="80"/>
      <c r="Q99" s="80"/>
      <c r="R99" s="80"/>
      <c r="S99" s="80"/>
    </row>
    <row r="100" spans="1:19" ht="28.8" x14ac:dyDescent="0.3">
      <c r="A100" s="124" t="s">
        <v>1777</v>
      </c>
      <c r="B100" s="133" t="s">
        <v>539</v>
      </c>
      <c r="C100" s="140" t="s">
        <v>1300</v>
      </c>
      <c r="D100" s="129" t="s">
        <v>1778</v>
      </c>
      <c r="E100" s="153" t="s">
        <v>1751</v>
      </c>
      <c r="F100" s="129" t="s">
        <v>1779</v>
      </c>
      <c r="G100" s="129" t="s">
        <v>1356</v>
      </c>
      <c r="H100" s="156" t="s">
        <v>1287</v>
      </c>
      <c r="I100" s="140" t="s">
        <v>1288</v>
      </c>
      <c r="J100" s="79">
        <v>45972</v>
      </c>
      <c r="K100" s="79"/>
      <c r="L100" s="77">
        <v>7</v>
      </c>
      <c r="M100" s="80"/>
      <c r="N100" s="80"/>
      <c r="O100" s="80"/>
      <c r="P100" s="80"/>
      <c r="Q100" s="80"/>
      <c r="R100" s="80"/>
      <c r="S100" s="80"/>
    </row>
    <row r="101" spans="1:19" ht="28.8" x14ac:dyDescent="0.3">
      <c r="A101" s="124" t="s">
        <v>1780</v>
      </c>
      <c r="B101" s="133" t="s">
        <v>539</v>
      </c>
      <c r="C101" s="140" t="s">
        <v>1283</v>
      </c>
      <c r="D101" s="129" t="s">
        <v>1781</v>
      </c>
      <c r="E101" s="154" t="s">
        <v>1737</v>
      </c>
      <c r="F101" s="129" t="s">
        <v>1782</v>
      </c>
      <c r="G101" s="129" t="s">
        <v>1783</v>
      </c>
      <c r="H101" s="155" t="s">
        <v>1287</v>
      </c>
      <c r="I101" s="146" t="s">
        <v>1288</v>
      </c>
      <c r="J101" s="79">
        <v>45972</v>
      </c>
      <c r="K101" s="79"/>
      <c r="L101" s="77">
        <v>7</v>
      </c>
      <c r="M101" s="80"/>
      <c r="N101" s="80"/>
      <c r="O101" s="80"/>
      <c r="P101" s="80"/>
      <c r="Q101" s="80"/>
      <c r="R101" s="80"/>
      <c r="S101" s="80"/>
    </row>
    <row r="102" spans="1:19" ht="43.2" x14ac:dyDescent="0.3">
      <c r="A102" s="124" t="s">
        <v>1784</v>
      </c>
      <c r="B102" s="133" t="s">
        <v>539</v>
      </c>
      <c r="C102" s="140" t="s">
        <v>1230</v>
      </c>
      <c r="D102" s="129" t="s">
        <v>1785</v>
      </c>
      <c r="E102" s="154" t="s">
        <v>1786</v>
      </c>
      <c r="F102" s="129" t="s">
        <v>1787</v>
      </c>
      <c r="G102" s="129" t="s">
        <v>1788</v>
      </c>
      <c r="H102" s="156" t="s">
        <v>1294</v>
      </c>
      <c r="I102" s="140" t="s">
        <v>1235</v>
      </c>
      <c r="J102" s="79">
        <v>45972</v>
      </c>
      <c r="K102" s="79"/>
      <c r="L102" s="77">
        <v>7</v>
      </c>
      <c r="M102" s="80"/>
      <c r="N102" s="80"/>
      <c r="O102" s="80"/>
      <c r="P102" s="80"/>
      <c r="Q102" s="80"/>
      <c r="R102" s="80"/>
      <c r="S102" s="80"/>
    </row>
    <row r="103" spans="1:19" ht="28.8" x14ac:dyDescent="0.3">
      <c r="A103" s="124" t="s">
        <v>1789</v>
      </c>
      <c r="B103" s="133" t="s">
        <v>539</v>
      </c>
      <c r="C103" s="140" t="s">
        <v>1300</v>
      </c>
      <c r="D103" s="129" t="s">
        <v>1790</v>
      </c>
      <c r="E103" s="154" t="s">
        <v>1737</v>
      </c>
      <c r="F103" s="129" t="s">
        <v>1791</v>
      </c>
      <c r="G103" s="129" t="s">
        <v>1356</v>
      </c>
      <c r="H103" s="155" t="s">
        <v>1287</v>
      </c>
      <c r="I103" s="140" t="s">
        <v>1288</v>
      </c>
      <c r="J103" s="79">
        <v>45972</v>
      </c>
      <c r="K103" s="79"/>
      <c r="L103" s="77">
        <v>7</v>
      </c>
      <c r="M103" s="80"/>
      <c r="N103" s="80"/>
      <c r="O103" s="80"/>
      <c r="P103" s="80"/>
      <c r="Q103" s="80"/>
      <c r="R103" s="80"/>
      <c r="S103" s="80"/>
    </row>
    <row r="104" spans="1:19" ht="28.8" x14ac:dyDescent="0.3">
      <c r="A104" s="80" t="s">
        <v>1792</v>
      </c>
      <c r="B104" s="130" t="s">
        <v>167</v>
      </c>
      <c r="C104" s="140" t="s">
        <v>1206</v>
      </c>
      <c r="D104" s="129" t="s">
        <v>1793</v>
      </c>
      <c r="E104" s="153" t="s">
        <v>1794</v>
      </c>
      <c r="F104" s="129" t="s">
        <v>1795</v>
      </c>
      <c r="G104" s="129" t="s">
        <v>1796</v>
      </c>
      <c r="H104" s="155" t="s">
        <v>1255</v>
      </c>
      <c r="I104" s="146" t="s">
        <v>1212</v>
      </c>
      <c r="J104" s="79">
        <v>45972</v>
      </c>
      <c r="K104" s="79"/>
      <c r="L104" s="77">
        <v>5</v>
      </c>
      <c r="M104" s="80"/>
      <c r="N104" s="80"/>
      <c r="O104" s="80"/>
      <c r="P104" s="80"/>
      <c r="Q104" s="80"/>
      <c r="R104" s="80"/>
      <c r="S104" s="80"/>
    </row>
    <row r="105" spans="1:19" ht="43.2" hidden="1" x14ac:dyDescent="0.3">
      <c r="A105" s="80" t="s">
        <v>1797</v>
      </c>
      <c r="B105" s="131" t="s">
        <v>219</v>
      </c>
      <c r="C105" s="140" t="s">
        <v>1222</v>
      </c>
      <c r="D105" s="129" t="s">
        <v>1798</v>
      </c>
      <c r="E105" s="129" t="s">
        <v>1799</v>
      </c>
      <c r="F105" s="129" t="s">
        <v>1800</v>
      </c>
      <c r="G105" s="129" t="s">
        <v>1801</v>
      </c>
      <c r="H105" s="129" t="s">
        <v>1802</v>
      </c>
      <c r="I105" s="129" t="s">
        <v>1803</v>
      </c>
      <c r="J105" s="79">
        <v>45972</v>
      </c>
      <c r="K105" s="79"/>
      <c r="L105" s="79"/>
      <c r="M105" s="80"/>
      <c r="N105" s="80"/>
      <c r="O105" s="80"/>
      <c r="P105" s="80"/>
      <c r="Q105" s="80"/>
      <c r="R105" s="80"/>
      <c r="S105" s="80"/>
    </row>
    <row r="106" spans="1:19" ht="43.2" hidden="1" x14ac:dyDescent="0.3">
      <c r="A106" s="80" t="s">
        <v>1804</v>
      </c>
      <c r="B106" s="131" t="s">
        <v>219</v>
      </c>
      <c r="C106" s="140" t="s">
        <v>1222</v>
      </c>
      <c r="D106" s="129" t="s">
        <v>1805</v>
      </c>
      <c r="E106" s="129" t="s">
        <v>1806</v>
      </c>
      <c r="F106" s="129" t="s">
        <v>1807</v>
      </c>
      <c r="G106" s="129" t="s">
        <v>1808</v>
      </c>
      <c r="H106" s="129" t="s">
        <v>1809</v>
      </c>
      <c r="I106" s="129" t="s">
        <v>1810</v>
      </c>
      <c r="J106" s="79">
        <v>45972</v>
      </c>
      <c r="K106" s="79"/>
      <c r="L106" s="79"/>
      <c r="M106" s="80"/>
      <c r="N106" s="80"/>
      <c r="O106" s="80"/>
      <c r="P106" s="80"/>
      <c r="Q106" s="80"/>
      <c r="R106" s="80"/>
      <c r="S106" s="80"/>
    </row>
    <row r="107" spans="1:19" ht="43.2" hidden="1" x14ac:dyDescent="0.3">
      <c r="A107" s="80" t="s">
        <v>1811</v>
      </c>
      <c r="B107" s="131" t="s">
        <v>219</v>
      </c>
      <c r="C107" s="140" t="s">
        <v>1222</v>
      </c>
      <c r="D107" s="129" t="s">
        <v>1812</v>
      </c>
      <c r="E107" s="129" t="s">
        <v>1813</v>
      </c>
      <c r="F107" s="129" t="s">
        <v>1814</v>
      </c>
      <c r="G107" s="129" t="s">
        <v>1815</v>
      </c>
      <c r="H107" s="129" t="s">
        <v>1816</v>
      </c>
      <c r="I107" s="129" t="s">
        <v>1817</v>
      </c>
      <c r="J107" s="79">
        <v>45972</v>
      </c>
      <c r="K107" s="79"/>
      <c r="L107" s="79"/>
      <c r="M107" s="80"/>
      <c r="N107" s="80"/>
      <c r="O107" s="80"/>
      <c r="P107" s="80"/>
      <c r="Q107" s="80"/>
      <c r="R107" s="80"/>
      <c r="S107" s="80"/>
    </row>
    <row r="108" spans="1:19" ht="43.2" hidden="1" x14ac:dyDescent="0.3">
      <c r="A108" s="80" t="s">
        <v>1818</v>
      </c>
      <c r="B108" s="131" t="s">
        <v>219</v>
      </c>
      <c r="C108" s="140" t="s">
        <v>1222</v>
      </c>
      <c r="D108" s="129" t="s">
        <v>1819</v>
      </c>
      <c r="E108" s="129" t="s">
        <v>1820</v>
      </c>
      <c r="F108" s="129" t="s">
        <v>1821</v>
      </c>
      <c r="G108" s="129" t="s">
        <v>1822</v>
      </c>
      <c r="H108" s="129" t="s">
        <v>1823</v>
      </c>
      <c r="I108" s="129" t="s">
        <v>1824</v>
      </c>
      <c r="J108" s="79">
        <v>45972</v>
      </c>
      <c r="K108" s="79"/>
      <c r="L108" s="79"/>
      <c r="M108" s="139"/>
      <c r="N108" s="139"/>
      <c r="O108" s="139"/>
      <c r="P108" s="139"/>
      <c r="Q108" s="139"/>
      <c r="R108" s="139"/>
      <c r="S108" s="139"/>
    </row>
    <row r="109" spans="1:19" ht="43.2" x14ac:dyDescent="0.3">
      <c r="A109" s="80" t="s">
        <v>1825</v>
      </c>
      <c r="B109" s="131" t="s">
        <v>219</v>
      </c>
      <c r="C109" s="140" t="s">
        <v>1230</v>
      </c>
      <c r="D109" s="129" t="s">
        <v>1826</v>
      </c>
      <c r="E109" s="153" t="s">
        <v>1827</v>
      </c>
      <c r="F109" s="129" t="s">
        <v>1828</v>
      </c>
      <c r="G109" s="129" t="s">
        <v>1829</v>
      </c>
      <c r="H109" s="156" t="s">
        <v>1294</v>
      </c>
      <c r="I109" s="140" t="s">
        <v>1235</v>
      </c>
      <c r="J109" s="79">
        <v>45972</v>
      </c>
      <c r="K109" s="79"/>
      <c r="L109" s="77">
        <v>5</v>
      </c>
      <c r="M109" s="139"/>
      <c r="N109" s="139"/>
      <c r="O109" s="139"/>
      <c r="P109" s="139"/>
      <c r="Q109" s="139"/>
      <c r="R109" s="139"/>
      <c r="S109" s="139"/>
    </row>
    <row r="110" spans="1:19" ht="74.25" customHeight="1" x14ac:dyDescent="0.3">
      <c r="A110" s="80" t="s">
        <v>1830</v>
      </c>
      <c r="B110" s="131" t="s">
        <v>219</v>
      </c>
      <c r="C110" s="140" t="s">
        <v>1237</v>
      </c>
      <c r="D110" s="129" t="s">
        <v>1831</v>
      </c>
      <c r="E110" s="154" t="s">
        <v>1832</v>
      </c>
      <c r="F110" s="129" t="s">
        <v>1833</v>
      </c>
      <c r="G110" s="129" t="s">
        <v>1834</v>
      </c>
      <c r="H110" s="155" t="s">
        <v>1241</v>
      </c>
      <c r="I110" s="140" t="s">
        <v>1242</v>
      </c>
      <c r="J110" s="79">
        <v>45972</v>
      </c>
      <c r="K110" s="79"/>
      <c r="L110" s="77">
        <v>5</v>
      </c>
      <c r="M110" s="139"/>
      <c r="N110" s="139"/>
      <c r="O110" s="139"/>
      <c r="P110" s="139"/>
      <c r="Q110" s="139"/>
      <c r="R110" s="139"/>
      <c r="S110" s="139"/>
    </row>
    <row r="111" spans="1:19" ht="28.8" x14ac:dyDescent="0.3">
      <c r="A111" s="80" t="s">
        <v>1835</v>
      </c>
      <c r="B111" s="131" t="s">
        <v>219</v>
      </c>
      <c r="C111" s="140" t="s">
        <v>1257</v>
      </c>
      <c r="D111" s="129" t="s">
        <v>1836</v>
      </c>
      <c r="E111" s="154" t="s">
        <v>1837</v>
      </c>
      <c r="F111" s="129" t="s">
        <v>1838</v>
      </c>
      <c r="G111" s="129" t="s">
        <v>1839</v>
      </c>
      <c r="H111" s="156" t="s">
        <v>1241</v>
      </c>
      <c r="I111" s="146" t="s">
        <v>1262</v>
      </c>
      <c r="J111" s="79">
        <v>45972</v>
      </c>
      <c r="K111" s="79"/>
      <c r="L111" s="77">
        <v>5</v>
      </c>
      <c r="M111" s="139"/>
      <c r="N111" s="139"/>
      <c r="O111" s="139"/>
      <c r="P111" s="139"/>
      <c r="Q111" s="139"/>
      <c r="R111" s="139"/>
      <c r="S111" s="139"/>
    </row>
    <row r="112" spans="1:19" ht="43.2" x14ac:dyDescent="0.3">
      <c r="A112" s="80" t="s">
        <v>1840</v>
      </c>
      <c r="B112" s="131" t="s">
        <v>219</v>
      </c>
      <c r="C112" s="140" t="s">
        <v>1244</v>
      </c>
      <c r="D112" s="129" t="s">
        <v>1841</v>
      </c>
      <c r="E112" s="153" t="s">
        <v>1842</v>
      </c>
      <c r="F112" s="129" t="s">
        <v>1843</v>
      </c>
      <c r="G112" s="129" t="s">
        <v>1844</v>
      </c>
      <c r="H112" s="156" t="s">
        <v>1248</v>
      </c>
      <c r="I112" s="140" t="s">
        <v>1249</v>
      </c>
      <c r="J112" s="79">
        <v>45972</v>
      </c>
      <c r="K112" s="79"/>
      <c r="L112" s="77">
        <v>5</v>
      </c>
      <c r="M112" s="139"/>
      <c r="N112" s="139"/>
      <c r="O112" s="139"/>
      <c r="P112" s="139"/>
      <c r="Q112" s="139"/>
      <c r="R112" s="139"/>
      <c r="S112" s="139"/>
    </row>
    <row r="113" spans="1:19" ht="43.2" x14ac:dyDescent="0.3">
      <c r="A113" s="80" t="s">
        <v>1845</v>
      </c>
      <c r="B113" s="131" t="s">
        <v>219</v>
      </c>
      <c r="C113" s="140" t="s">
        <v>1206</v>
      </c>
      <c r="D113" s="129" t="s">
        <v>1846</v>
      </c>
      <c r="E113" s="154" t="s">
        <v>1847</v>
      </c>
      <c r="F113" s="129" t="s">
        <v>1848</v>
      </c>
      <c r="G113" s="129" t="s">
        <v>1849</v>
      </c>
      <c r="H113" s="155" t="s">
        <v>1255</v>
      </c>
      <c r="I113" s="140" t="s">
        <v>1212</v>
      </c>
      <c r="J113" s="79">
        <v>45972</v>
      </c>
      <c r="K113" s="79"/>
      <c r="L113" s="77">
        <v>5</v>
      </c>
      <c r="M113" s="139"/>
      <c r="N113" s="139"/>
      <c r="O113" s="139"/>
      <c r="P113" s="139"/>
      <c r="Q113" s="139"/>
      <c r="R113" s="139"/>
      <c r="S113" s="139"/>
    </row>
    <row r="114" spans="1:19" ht="28.8" x14ac:dyDescent="0.3">
      <c r="A114" s="80" t="s">
        <v>1850</v>
      </c>
      <c r="B114" s="131" t="s">
        <v>219</v>
      </c>
      <c r="C114" s="140" t="s">
        <v>1300</v>
      </c>
      <c r="D114" s="129" t="s">
        <v>1851</v>
      </c>
      <c r="E114" s="154" t="s">
        <v>1852</v>
      </c>
      <c r="F114" s="129" t="s">
        <v>1853</v>
      </c>
      <c r="G114" s="129" t="s">
        <v>1854</v>
      </c>
      <c r="H114" s="155" t="s">
        <v>1294</v>
      </c>
      <c r="I114" s="140" t="s">
        <v>1235</v>
      </c>
      <c r="J114" s="79">
        <v>45972</v>
      </c>
      <c r="K114" s="79"/>
      <c r="L114" s="77">
        <v>5</v>
      </c>
      <c r="M114" s="139"/>
      <c r="N114" s="139"/>
      <c r="O114" s="139"/>
      <c r="P114" s="139"/>
      <c r="Q114" s="139"/>
      <c r="R114" s="139"/>
      <c r="S114" s="139"/>
    </row>
    <row r="115" spans="1:19" ht="28.8" x14ac:dyDescent="0.3">
      <c r="A115" s="80" t="s">
        <v>1855</v>
      </c>
      <c r="B115" s="131" t="s">
        <v>219</v>
      </c>
      <c r="C115" s="140" t="s">
        <v>1237</v>
      </c>
      <c r="D115" s="129" t="s">
        <v>1856</v>
      </c>
      <c r="E115" s="153" t="s">
        <v>1857</v>
      </c>
      <c r="F115" s="129" t="s">
        <v>1858</v>
      </c>
      <c r="G115" s="129" t="s">
        <v>1859</v>
      </c>
      <c r="H115" s="155" t="s">
        <v>1241</v>
      </c>
      <c r="I115" s="140" t="s">
        <v>1242</v>
      </c>
      <c r="J115" s="79">
        <v>45972</v>
      </c>
      <c r="K115" s="79"/>
      <c r="L115" s="77">
        <v>5</v>
      </c>
      <c r="M115" s="139"/>
      <c r="N115" s="139"/>
      <c r="O115" s="139"/>
      <c r="P115" s="139"/>
      <c r="Q115" s="139"/>
      <c r="R115" s="139"/>
      <c r="S115" s="139"/>
    </row>
    <row r="116" spans="1:19" ht="28.8" x14ac:dyDescent="0.3">
      <c r="A116" s="80" t="s">
        <v>1860</v>
      </c>
      <c r="B116" s="131" t="s">
        <v>219</v>
      </c>
      <c r="C116" s="140" t="s">
        <v>1257</v>
      </c>
      <c r="D116" s="129" t="s">
        <v>1861</v>
      </c>
      <c r="E116" s="154" t="s">
        <v>1862</v>
      </c>
      <c r="F116" s="129" t="s">
        <v>1863</v>
      </c>
      <c r="G116" s="129" t="s">
        <v>1864</v>
      </c>
      <c r="H116" s="156" t="s">
        <v>1261</v>
      </c>
      <c r="I116" s="146" t="s">
        <v>1262</v>
      </c>
      <c r="J116" s="79">
        <v>45972</v>
      </c>
      <c r="K116" s="79"/>
      <c r="L116" s="77">
        <v>5</v>
      </c>
      <c r="M116" s="139"/>
      <c r="N116" s="139"/>
      <c r="O116" s="139"/>
      <c r="P116" s="139"/>
      <c r="Q116" s="139"/>
      <c r="R116" s="139"/>
      <c r="S116" s="139"/>
    </row>
    <row r="117" spans="1:19" ht="43.2" hidden="1" x14ac:dyDescent="0.3">
      <c r="A117" s="80" t="s">
        <v>1865</v>
      </c>
      <c r="B117" s="132" t="s">
        <v>305</v>
      </c>
      <c r="C117" s="140" t="s">
        <v>1618</v>
      </c>
      <c r="D117" s="129" t="s">
        <v>1866</v>
      </c>
      <c r="E117" s="129" t="s">
        <v>1867</v>
      </c>
      <c r="F117" s="129" t="s">
        <v>1868</v>
      </c>
      <c r="G117" s="129" t="s">
        <v>1869</v>
      </c>
      <c r="H117" s="154" t="s">
        <v>1287</v>
      </c>
      <c r="I117" s="129" t="s">
        <v>1870</v>
      </c>
      <c r="J117" s="79">
        <v>45972</v>
      </c>
      <c r="K117" s="79"/>
      <c r="L117" s="79"/>
      <c r="M117" s="139"/>
      <c r="N117" s="139"/>
      <c r="O117" s="139"/>
      <c r="P117" s="139"/>
      <c r="Q117" s="139"/>
      <c r="R117" s="139"/>
      <c r="S117" s="139"/>
    </row>
    <row r="118" spans="1:19" ht="43.2" hidden="1" x14ac:dyDescent="0.3">
      <c r="A118" s="80" t="s">
        <v>1871</v>
      </c>
      <c r="B118" s="132" t="s">
        <v>305</v>
      </c>
      <c r="C118" s="140" t="s">
        <v>1583</v>
      </c>
      <c r="D118" s="129" t="s">
        <v>1872</v>
      </c>
      <c r="E118" s="129" t="s">
        <v>1873</v>
      </c>
      <c r="F118" s="129" t="s">
        <v>1874</v>
      </c>
      <c r="G118" s="129" t="s">
        <v>1875</v>
      </c>
      <c r="H118" s="129" t="s">
        <v>1876</v>
      </c>
      <c r="I118" s="129" t="s">
        <v>1877</v>
      </c>
      <c r="J118" s="79">
        <v>45972</v>
      </c>
      <c r="K118" s="79"/>
      <c r="L118" s="79"/>
      <c r="M118" s="139"/>
      <c r="N118" s="139"/>
      <c r="O118" s="139"/>
      <c r="P118" s="139"/>
      <c r="Q118" s="139"/>
      <c r="R118" s="139"/>
      <c r="S118" s="139"/>
    </row>
    <row r="119" spans="1:19" ht="43.2" hidden="1" x14ac:dyDescent="0.3">
      <c r="A119" s="80" t="s">
        <v>1878</v>
      </c>
      <c r="B119" s="132" t="s">
        <v>305</v>
      </c>
      <c r="C119" s="140" t="s">
        <v>1667</v>
      </c>
      <c r="D119" s="129" t="s">
        <v>1879</v>
      </c>
      <c r="E119" s="129" t="s">
        <v>1880</v>
      </c>
      <c r="F119" s="129" t="s">
        <v>1881</v>
      </c>
      <c r="G119" s="129" t="s">
        <v>1882</v>
      </c>
      <c r="H119" s="129" t="s">
        <v>1883</v>
      </c>
      <c r="I119" s="129" t="s">
        <v>1884</v>
      </c>
      <c r="J119" s="120">
        <v>45972</v>
      </c>
      <c r="K119" s="120"/>
      <c r="L119" s="120"/>
      <c r="M119" s="139"/>
      <c r="N119" s="139"/>
      <c r="O119" s="139"/>
      <c r="P119" s="139"/>
      <c r="Q119" s="139"/>
      <c r="R119" s="139"/>
      <c r="S119" s="139"/>
    </row>
    <row r="120" spans="1:19" ht="43.2" hidden="1" x14ac:dyDescent="0.3">
      <c r="A120" s="80" t="s">
        <v>1885</v>
      </c>
      <c r="B120" s="132" t="s">
        <v>305</v>
      </c>
      <c r="C120" s="140" t="s">
        <v>1886</v>
      </c>
      <c r="D120" s="129" t="s">
        <v>1887</v>
      </c>
      <c r="E120" s="129" t="s">
        <v>1888</v>
      </c>
      <c r="F120" s="129" t="s">
        <v>1889</v>
      </c>
      <c r="G120" s="129" t="s">
        <v>1890</v>
      </c>
      <c r="H120" s="129" t="s">
        <v>1891</v>
      </c>
      <c r="I120" s="129" t="s">
        <v>1892</v>
      </c>
      <c r="J120" s="120">
        <v>45972</v>
      </c>
      <c r="K120" s="120"/>
      <c r="L120" s="120"/>
      <c r="M120" s="139"/>
      <c r="N120" s="139"/>
      <c r="O120" s="139"/>
      <c r="P120" s="139"/>
      <c r="Q120" s="139"/>
      <c r="R120" s="139"/>
      <c r="S120" s="139"/>
    </row>
    <row r="121" spans="1:19" ht="43.2" hidden="1" x14ac:dyDescent="0.3">
      <c r="A121" s="80" t="s">
        <v>1893</v>
      </c>
      <c r="B121" s="132" t="s">
        <v>305</v>
      </c>
      <c r="C121" s="140" t="s">
        <v>1214</v>
      </c>
      <c r="D121" s="129" t="s">
        <v>1894</v>
      </c>
      <c r="E121" s="129" t="s">
        <v>1895</v>
      </c>
      <c r="F121" s="129" t="s">
        <v>1896</v>
      </c>
      <c r="G121" s="129" t="s">
        <v>1897</v>
      </c>
      <c r="H121" s="129" t="s">
        <v>1898</v>
      </c>
      <c r="I121" s="129" t="s">
        <v>1899</v>
      </c>
      <c r="J121" s="120">
        <v>45972</v>
      </c>
      <c r="K121" s="120"/>
      <c r="L121" s="120"/>
      <c r="M121" s="139"/>
      <c r="N121" s="139"/>
      <c r="O121" s="139"/>
      <c r="P121" s="139"/>
      <c r="Q121" s="139"/>
      <c r="R121" s="139"/>
      <c r="S121" s="139"/>
    </row>
    <row r="122" spans="1:19" ht="43.2" hidden="1" x14ac:dyDescent="0.3">
      <c r="A122" s="80" t="s">
        <v>1900</v>
      </c>
      <c r="B122" s="132" t="s">
        <v>305</v>
      </c>
      <c r="C122" s="140" t="s">
        <v>1372</v>
      </c>
      <c r="D122" s="129" t="s">
        <v>1901</v>
      </c>
      <c r="E122" s="129" t="s">
        <v>1902</v>
      </c>
      <c r="F122" s="129" t="s">
        <v>1903</v>
      </c>
      <c r="G122" s="129" t="s">
        <v>1904</v>
      </c>
      <c r="H122" s="129" t="s">
        <v>1905</v>
      </c>
      <c r="I122" s="129" t="s">
        <v>1906</v>
      </c>
      <c r="J122" s="120">
        <v>45972</v>
      </c>
      <c r="K122" s="120"/>
      <c r="L122" s="120"/>
      <c r="M122" s="139"/>
      <c r="N122" s="139"/>
      <c r="O122" s="139"/>
      <c r="P122" s="139"/>
      <c r="Q122" s="139"/>
      <c r="R122" s="139"/>
      <c r="S122" s="139"/>
    </row>
    <row r="123" spans="1:19" ht="43.2" hidden="1" x14ac:dyDescent="0.3">
      <c r="A123" s="80" t="s">
        <v>1907</v>
      </c>
      <c r="B123" s="132" t="s">
        <v>305</v>
      </c>
      <c r="C123" s="140" t="s">
        <v>1214</v>
      </c>
      <c r="D123" s="129" t="s">
        <v>1908</v>
      </c>
      <c r="E123" s="129" t="s">
        <v>1909</v>
      </c>
      <c r="F123" s="129" t="s">
        <v>1910</v>
      </c>
      <c r="G123" s="129" t="s">
        <v>1911</v>
      </c>
      <c r="H123" s="129" t="s">
        <v>1912</v>
      </c>
      <c r="I123" s="129" t="s">
        <v>1913</v>
      </c>
      <c r="J123" s="120">
        <v>45972</v>
      </c>
      <c r="K123" s="120"/>
      <c r="L123" s="120"/>
      <c r="M123" s="139"/>
      <c r="N123" s="139"/>
      <c r="O123" s="139"/>
      <c r="P123" s="139"/>
      <c r="Q123" s="139"/>
      <c r="R123" s="139"/>
      <c r="S123" s="139"/>
    </row>
    <row r="124" spans="1:19" ht="43.2" hidden="1" x14ac:dyDescent="0.3">
      <c r="A124" s="80" t="s">
        <v>1914</v>
      </c>
      <c r="B124" s="132" t="s">
        <v>305</v>
      </c>
      <c r="C124" s="140" t="s">
        <v>1468</v>
      </c>
      <c r="D124" s="129" t="s">
        <v>1915</v>
      </c>
      <c r="E124" s="129" t="s">
        <v>1916</v>
      </c>
      <c r="F124" s="129" t="s">
        <v>1917</v>
      </c>
      <c r="G124" s="129" t="s">
        <v>1918</v>
      </c>
      <c r="H124" s="129" t="s">
        <v>1919</v>
      </c>
      <c r="I124" s="129" t="s">
        <v>1920</v>
      </c>
      <c r="J124" s="120">
        <v>45972</v>
      </c>
      <c r="K124" s="120"/>
      <c r="L124" s="120"/>
      <c r="M124" s="139"/>
      <c r="N124" s="139"/>
      <c r="O124" s="139"/>
      <c r="P124" s="139"/>
      <c r="Q124" s="139"/>
      <c r="R124" s="139"/>
      <c r="S124" s="139"/>
    </row>
    <row r="125" spans="1:19" ht="43.2" hidden="1" x14ac:dyDescent="0.3">
      <c r="A125" s="80" t="s">
        <v>1921</v>
      </c>
      <c r="B125" s="132" t="s">
        <v>305</v>
      </c>
      <c r="C125" s="140" t="s">
        <v>1264</v>
      </c>
      <c r="D125" s="129" t="s">
        <v>1922</v>
      </c>
      <c r="E125" s="129" t="s">
        <v>1923</v>
      </c>
      <c r="F125" s="129" t="s">
        <v>1924</v>
      </c>
      <c r="G125" s="129" t="s">
        <v>1925</v>
      </c>
      <c r="H125" s="129" t="s">
        <v>1926</v>
      </c>
      <c r="I125" s="129" t="s">
        <v>1927</v>
      </c>
      <c r="J125" s="120">
        <v>45972</v>
      </c>
      <c r="K125" s="120"/>
      <c r="L125" s="120"/>
      <c r="M125" s="139"/>
      <c r="N125" s="139"/>
      <c r="O125" s="139"/>
      <c r="P125" s="139"/>
      <c r="Q125" s="139"/>
      <c r="R125" s="139"/>
      <c r="S125" s="139"/>
    </row>
    <row r="126" spans="1:19" ht="28.8" x14ac:dyDescent="0.3">
      <c r="A126" s="80" t="s">
        <v>1928</v>
      </c>
      <c r="B126" s="132" t="s">
        <v>305</v>
      </c>
      <c r="C126" s="140" t="s">
        <v>1283</v>
      </c>
      <c r="D126" s="129" t="s">
        <v>1929</v>
      </c>
      <c r="E126" s="153" t="s">
        <v>1930</v>
      </c>
      <c r="F126" s="129" t="s">
        <v>1931</v>
      </c>
      <c r="G126" s="129" t="s">
        <v>1932</v>
      </c>
      <c r="H126" s="129" t="s">
        <v>1933</v>
      </c>
      <c r="I126" s="140" t="s">
        <v>1288</v>
      </c>
      <c r="J126" s="120">
        <v>45972</v>
      </c>
      <c r="K126" s="120"/>
      <c r="L126" s="77">
        <v>7</v>
      </c>
      <c r="M126" s="139"/>
      <c r="N126" s="139"/>
      <c r="O126" s="139"/>
      <c r="P126" s="139"/>
      <c r="Q126" s="139"/>
      <c r="R126" s="139"/>
      <c r="S126" s="139"/>
    </row>
    <row r="127" spans="1:19" ht="43.2" x14ac:dyDescent="0.3">
      <c r="A127" s="80" t="s">
        <v>1934</v>
      </c>
      <c r="B127" s="132" t="s">
        <v>305</v>
      </c>
      <c r="C127" s="140" t="s">
        <v>1300</v>
      </c>
      <c r="D127" s="129" t="s">
        <v>1935</v>
      </c>
      <c r="E127" s="154" t="s">
        <v>1936</v>
      </c>
      <c r="F127" s="129" t="s">
        <v>1937</v>
      </c>
      <c r="G127" s="129" t="s">
        <v>1938</v>
      </c>
      <c r="H127" s="156" t="s">
        <v>1287</v>
      </c>
      <c r="I127" s="146" t="s">
        <v>1288</v>
      </c>
      <c r="J127" s="120">
        <v>45972</v>
      </c>
      <c r="K127" s="120"/>
      <c r="L127" s="77">
        <v>7</v>
      </c>
      <c r="M127" s="139"/>
      <c r="N127" s="139"/>
      <c r="O127" s="139"/>
      <c r="P127" s="139"/>
      <c r="Q127" s="139"/>
      <c r="R127" s="139"/>
      <c r="S127" s="139"/>
    </row>
    <row r="128" spans="1:19" ht="28.8" x14ac:dyDescent="0.3">
      <c r="A128" s="80" t="s">
        <v>1939</v>
      </c>
      <c r="B128" s="132" t="s">
        <v>305</v>
      </c>
      <c r="C128" s="140" t="s">
        <v>1230</v>
      </c>
      <c r="D128" s="129" t="s">
        <v>1940</v>
      </c>
      <c r="E128" s="154" t="s">
        <v>1837</v>
      </c>
      <c r="F128" s="129" t="s">
        <v>1941</v>
      </c>
      <c r="G128" s="129" t="s">
        <v>1942</v>
      </c>
      <c r="H128" s="155" t="s">
        <v>1294</v>
      </c>
      <c r="I128" s="140" t="s">
        <v>1235</v>
      </c>
      <c r="J128" s="120">
        <v>45972</v>
      </c>
      <c r="K128" s="120"/>
      <c r="L128" s="77">
        <v>7</v>
      </c>
      <c r="M128" s="139"/>
      <c r="N128" s="139"/>
      <c r="O128" s="139"/>
      <c r="P128" s="139"/>
      <c r="Q128" s="139"/>
      <c r="R128" s="139"/>
      <c r="S128" s="139"/>
    </row>
    <row r="129" spans="1:19" ht="28.8" x14ac:dyDescent="0.3">
      <c r="A129" s="80" t="s">
        <v>1943</v>
      </c>
      <c r="B129" s="132" t="s">
        <v>305</v>
      </c>
      <c r="C129" s="140" t="s">
        <v>1237</v>
      </c>
      <c r="D129" s="129" t="s">
        <v>1944</v>
      </c>
      <c r="E129" s="154" t="s">
        <v>1832</v>
      </c>
      <c r="F129" s="129" t="s">
        <v>1945</v>
      </c>
      <c r="G129" s="129" t="s">
        <v>1946</v>
      </c>
      <c r="H129" s="155" t="s">
        <v>1241</v>
      </c>
      <c r="I129" s="140" t="s">
        <v>1242</v>
      </c>
      <c r="J129" s="120">
        <v>45972</v>
      </c>
      <c r="K129" s="120"/>
      <c r="L129" s="77">
        <v>7</v>
      </c>
      <c r="M129" s="139"/>
      <c r="N129" s="139"/>
      <c r="O129" s="139"/>
      <c r="P129" s="139"/>
      <c r="Q129" s="139"/>
      <c r="R129" s="139"/>
      <c r="S129" s="139"/>
    </row>
    <row r="130" spans="1:19" ht="28.8" x14ac:dyDescent="0.3">
      <c r="A130" s="80" t="s">
        <v>1947</v>
      </c>
      <c r="B130" s="132" t="s">
        <v>305</v>
      </c>
      <c r="C130" s="140" t="s">
        <v>1257</v>
      </c>
      <c r="D130" s="129" t="s">
        <v>1948</v>
      </c>
      <c r="E130" s="153" t="s">
        <v>1930</v>
      </c>
      <c r="F130" s="129" t="s">
        <v>1949</v>
      </c>
      <c r="G130" s="129" t="s">
        <v>1950</v>
      </c>
      <c r="H130" s="155" t="s">
        <v>1261</v>
      </c>
      <c r="I130" s="146" t="s">
        <v>1262</v>
      </c>
      <c r="J130" s="120">
        <v>45972</v>
      </c>
      <c r="K130" s="120"/>
      <c r="L130" s="77">
        <v>7</v>
      </c>
      <c r="M130" s="139"/>
      <c r="N130" s="139"/>
      <c r="O130" s="139"/>
      <c r="P130" s="139"/>
      <c r="Q130" s="139"/>
      <c r="R130" s="139"/>
      <c r="S130" s="139"/>
    </row>
    <row r="131" spans="1:19" ht="43.2" x14ac:dyDescent="0.3">
      <c r="A131" s="80" t="s">
        <v>1951</v>
      </c>
      <c r="B131" s="132" t="s">
        <v>305</v>
      </c>
      <c r="C131" s="140" t="s">
        <v>1244</v>
      </c>
      <c r="D131" s="129" t="s">
        <v>1952</v>
      </c>
      <c r="E131" s="154" t="s">
        <v>1842</v>
      </c>
      <c r="F131" s="129" t="s">
        <v>1953</v>
      </c>
      <c r="G131" s="129" t="s">
        <v>1954</v>
      </c>
      <c r="H131" s="155" t="s">
        <v>1248</v>
      </c>
      <c r="I131" s="140" t="s">
        <v>1249</v>
      </c>
      <c r="J131" s="120">
        <v>45972</v>
      </c>
      <c r="K131" s="120"/>
      <c r="L131" s="77">
        <v>7</v>
      </c>
      <c r="M131" s="139"/>
      <c r="N131" s="139"/>
      <c r="O131" s="139"/>
      <c r="P131" s="139"/>
      <c r="Q131" s="139"/>
      <c r="R131" s="139"/>
      <c r="S131" s="139"/>
    </row>
    <row r="132" spans="1:19" ht="28.8" x14ac:dyDescent="0.3">
      <c r="A132" s="80" t="s">
        <v>1955</v>
      </c>
      <c r="B132" s="132" t="s">
        <v>305</v>
      </c>
      <c r="C132" s="140" t="s">
        <v>1206</v>
      </c>
      <c r="D132" s="129" t="s">
        <v>1956</v>
      </c>
      <c r="E132" s="154" t="s">
        <v>1957</v>
      </c>
      <c r="F132" s="129" t="s">
        <v>1958</v>
      </c>
      <c r="G132" s="129" t="s">
        <v>1959</v>
      </c>
      <c r="H132" s="156" t="s">
        <v>1255</v>
      </c>
      <c r="I132" s="140" t="s">
        <v>1212</v>
      </c>
      <c r="J132" s="120">
        <v>45972</v>
      </c>
      <c r="K132" s="120"/>
      <c r="L132" s="77">
        <v>7</v>
      </c>
      <c r="M132" s="139"/>
      <c r="N132" s="139"/>
      <c r="O132" s="139"/>
      <c r="P132" s="139"/>
      <c r="Q132" s="139"/>
      <c r="R132" s="139"/>
      <c r="S132" s="139"/>
    </row>
    <row r="133" spans="1:19" ht="28.8" x14ac:dyDescent="0.3">
      <c r="A133" s="80" t="s">
        <v>1960</v>
      </c>
      <c r="B133" s="132" t="s">
        <v>305</v>
      </c>
      <c r="C133" s="140" t="s">
        <v>1283</v>
      </c>
      <c r="D133" s="129" t="s">
        <v>1961</v>
      </c>
      <c r="E133" s="154" t="s">
        <v>1862</v>
      </c>
      <c r="F133" s="129" t="s">
        <v>1962</v>
      </c>
      <c r="G133" s="129" t="s">
        <v>1963</v>
      </c>
      <c r="H133" s="155" t="s">
        <v>1287</v>
      </c>
      <c r="I133" s="146" t="s">
        <v>1288</v>
      </c>
      <c r="J133" s="120">
        <v>45972</v>
      </c>
      <c r="K133" s="120"/>
      <c r="L133" s="77">
        <v>7</v>
      </c>
      <c r="M133" s="139"/>
      <c r="N133" s="139"/>
      <c r="O133" s="139"/>
      <c r="P133" s="139"/>
      <c r="Q133" s="139"/>
      <c r="R133" s="139"/>
      <c r="S133" s="139"/>
    </row>
    <row r="134" spans="1:19" ht="28.8" x14ac:dyDescent="0.3">
      <c r="A134" s="80" t="s">
        <v>1964</v>
      </c>
      <c r="B134" s="132" t="s">
        <v>305</v>
      </c>
      <c r="C134" s="140" t="s">
        <v>1300</v>
      </c>
      <c r="D134" s="129" t="s">
        <v>1965</v>
      </c>
      <c r="E134" s="154" t="s">
        <v>1794</v>
      </c>
      <c r="F134" s="129" t="s">
        <v>1966</v>
      </c>
      <c r="G134" s="129" t="s">
        <v>1967</v>
      </c>
      <c r="H134" s="156" t="s">
        <v>1287</v>
      </c>
      <c r="I134" s="146" t="s">
        <v>1288</v>
      </c>
      <c r="J134" s="120">
        <v>45972</v>
      </c>
      <c r="K134" s="120"/>
      <c r="L134" s="77">
        <v>7</v>
      </c>
      <c r="M134" s="139"/>
      <c r="N134" s="139"/>
      <c r="O134" s="139"/>
      <c r="P134" s="139"/>
      <c r="Q134" s="139"/>
      <c r="R134" s="139"/>
      <c r="S134" s="139"/>
    </row>
    <row r="135" spans="1:19" ht="43.2" x14ac:dyDescent="0.3">
      <c r="A135" s="80" t="s">
        <v>1968</v>
      </c>
      <c r="B135" s="132" t="s">
        <v>305</v>
      </c>
      <c r="C135" s="140" t="s">
        <v>1230</v>
      </c>
      <c r="D135" s="129" t="s">
        <v>1969</v>
      </c>
      <c r="E135" s="153" t="s">
        <v>1970</v>
      </c>
      <c r="F135" s="129" t="s">
        <v>1971</v>
      </c>
      <c r="G135" s="129" t="s">
        <v>1972</v>
      </c>
      <c r="H135" s="156" t="s">
        <v>1294</v>
      </c>
      <c r="I135" s="140" t="s">
        <v>1235</v>
      </c>
      <c r="J135" s="120">
        <v>45972</v>
      </c>
      <c r="K135" s="120"/>
      <c r="L135" s="77">
        <v>7</v>
      </c>
      <c r="M135" s="139"/>
      <c r="N135" s="139"/>
      <c r="O135" s="139"/>
      <c r="P135" s="139"/>
      <c r="Q135" s="139"/>
      <c r="R135" s="139"/>
      <c r="S135" s="139"/>
    </row>
    <row r="136" spans="1:19" ht="28.8" x14ac:dyDescent="0.3">
      <c r="A136" s="80" t="s">
        <v>1973</v>
      </c>
      <c r="B136" s="132" t="s">
        <v>305</v>
      </c>
      <c r="C136" s="140" t="s">
        <v>1237</v>
      </c>
      <c r="D136" s="129" t="s">
        <v>1974</v>
      </c>
      <c r="E136" s="154" t="s">
        <v>1832</v>
      </c>
      <c r="F136" s="129" t="s">
        <v>1975</v>
      </c>
      <c r="G136" s="129" t="s">
        <v>1976</v>
      </c>
      <c r="H136" s="155" t="s">
        <v>1241</v>
      </c>
      <c r="I136" s="140" t="s">
        <v>1242</v>
      </c>
      <c r="J136" s="120">
        <v>45972</v>
      </c>
      <c r="K136" s="120"/>
      <c r="L136" s="77">
        <v>7</v>
      </c>
      <c r="M136" s="139"/>
      <c r="N136" s="139"/>
      <c r="O136" s="139"/>
      <c r="P136" s="139"/>
      <c r="Q136" s="139"/>
      <c r="R136" s="139"/>
      <c r="S136" s="139"/>
    </row>
    <row r="137" spans="1:19" ht="43.2" hidden="1" x14ac:dyDescent="0.3">
      <c r="A137" s="80" t="s">
        <v>1977</v>
      </c>
      <c r="B137" s="133" t="s">
        <v>539</v>
      </c>
      <c r="C137" s="140" t="s">
        <v>1468</v>
      </c>
      <c r="D137" s="129" t="s">
        <v>1978</v>
      </c>
      <c r="E137" s="129" t="s">
        <v>1979</v>
      </c>
      <c r="F137" s="129" t="s">
        <v>1980</v>
      </c>
      <c r="G137" s="129" t="s">
        <v>1981</v>
      </c>
      <c r="H137" s="154" t="s">
        <v>1287</v>
      </c>
      <c r="I137" s="129" t="s">
        <v>1982</v>
      </c>
      <c r="J137" s="120">
        <v>45972</v>
      </c>
      <c r="K137" s="120"/>
      <c r="L137" s="120"/>
      <c r="M137" s="139"/>
      <c r="N137" s="139"/>
      <c r="O137" s="139"/>
      <c r="P137" s="139"/>
      <c r="Q137" s="139"/>
      <c r="R137" s="139"/>
      <c r="S137" s="139"/>
    </row>
    <row r="138" spans="1:19" ht="28.8" x14ac:dyDescent="0.3">
      <c r="A138" s="80" t="s">
        <v>1983</v>
      </c>
      <c r="B138" s="133" t="s">
        <v>539</v>
      </c>
      <c r="C138" s="140" t="s">
        <v>1283</v>
      </c>
      <c r="D138" s="129" t="s">
        <v>1984</v>
      </c>
      <c r="E138" s="153" t="s">
        <v>1852</v>
      </c>
      <c r="F138" s="129" t="s">
        <v>1985</v>
      </c>
      <c r="G138" s="129" t="s">
        <v>1986</v>
      </c>
      <c r="H138" s="156" t="s">
        <v>1287</v>
      </c>
      <c r="I138" s="140" t="s">
        <v>1288</v>
      </c>
      <c r="J138" s="120">
        <v>45972</v>
      </c>
      <c r="K138" s="120"/>
      <c r="L138" s="77">
        <v>7</v>
      </c>
      <c r="M138" s="139"/>
      <c r="N138" s="139"/>
      <c r="O138" s="139"/>
      <c r="P138" s="139"/>
      <c r="Q138" s="139"/>
      <c r="R138" s="139"/>
      <c r="S138" s="139"/>
    </row>
    <row r="139" spans="1:19" ht="28.8" x14ac:dyDescent="0.3">
      <c r="A139" s="80" t="s">
        <v>1987</v>
      </c>
      <c r="B139" s="133" t="s">
        <v>539</v>
      </c>
      <c r="C139" s="140" t="s">
        <v>1230</v>
      </c>
      <c r="D139" s="129" t="s">
        <v>1988</v>
      </c>
      <c r="E139" s="154" t="s">
        <v>1989</v>
      </c>
      <c r="F139" s="129" t="s">
        <v>1990</v>
      </c>
      <c r="G139" s="129" t="s">
        <v>1991</v>
      </c>
      <c r="H139" s="156" t="s">
        <v>1294</v>
      </c>
      <c r="I139" s="140" t="s">
        <v>1235</v>
      </c>
      <c r="J139" s="120">
        <v>45972</v>
      </c>
      <c r="K139" s="120"/>
      <c r="L139" s="77">
        <v>7</v>
      </c>
      <c r="M139" s="139"/>
      <c r="N139" s="139"/>
      <c r="O139" s="139"/>
      <c r="P139" s="139"/>
      <c r="Q139" s="139"/>
      <c r="R139" s="139"/>
      <c r="S139" s="139"/>
    </row>
    <row r="140" spans="1:19" ht="28.8" x14ac:dyDescent="0.3">
      <c r="A140" s="80" t="s">
        <v>1992</v>
      </c>
      <c r="B140" s="133" t="s">
        <v>539</v>
      </c>
      <c r="C140" s="140" t="s">
        <v>1206</v>
      </c>
      <c r="D140" s="129" t="s">
        <v>1993</v>
      </c>
      <c r="E140" s="154" t="s">
        <v>1862</v>
      </c>
      <c r="F140" s="129" t="s">
        <v>1994</v>
      </c>
      <c r="G140" s="129" t="s">
        <v>1995</v>
      </c>
      <c r="H140" s="155" t="s">
        <v>1255</v>
      </c>
      <c r="I140" s="140" t="s">
        <v>1212</v>
      </c>
      <c r="J140" s="120">
        <v>45972</v>
      </c>
      <c r="K140" s="120"/>
      <c r="L140" s="77">
        <v>7</v>
      </c>
      <c r="M140" s="139"/>
      <c r="N140" s="139"/>
      <c r="O140" s="139"/>
      <c r="P140" s="139"/>
      <c r="Q140" s="139"/>
      <c r="R140" s="139"/>
      <c r="S140" s="139"/>
    </row>
    <row r="141" spans="1:19" ht="28.8" x14ac:dyDescent="0.3">
      <c r="A141" s="80" t="s">
        <v>1996</v>
      </c>
      <c r="B141" s="133" t="s">
        <v>539</v>
      </c>
      <c r="C141" s="140" t="s">
        <v>1244</v>
      </c>
      <c r="D141" s="129" t="s">
        <v>1997</v>
      </c>
      <c r="E141" s="153" t="s">
        <v>1998</v>
      </c>
      <c r="F141" s="129" t="s">
        <v>1999</v>
      </c>
      <c r="G141" s="129" t="s">
        <v>2000</v>
      </c>
      <c r="H141" s="155" t="s">
        <v>1248</v>
      </c>
      <c r="I141" s="140" t="s">
        <v>1249</v>
      </c>
      <c r="J141" s="120">
        <v>45972</v>
      </c>
      <c r="K141" s="120"/>
      <c r="L141" s="77">
        <v>7</v>
      </c>
      <c r="M141" s="139"/>
      <c r="N141" s="139"/>
      <c r="O141" s="139"/>
      <c r="P141" s="139"/>
      <c r="Q141" s="139"/>
      <c r="R141" s="139"/>
      <c r="S141" s="139"/>
    </row>
    <row r="142" spans="1:19" ht="28.8" x14ac:dyDescent="0.3">
      <c r="A142" s="80" t="s">
        <v>2001</v>
      </c>
      <c r="B142" s="133" t="s">
        <v>539</v>
      </c>
      <c r="C142" s="140" t="s">
        <v>1300</v>
      </c>
      <c r="D142" s="129" t="s">
        <v>2002</v>
      </c>
      <c r="E142" s="154" t="s">
        <v>1837</v>
      </c>
      <c r="F142" s="129" t="s">
        <v>2003</v>
      </c>
      <c r="G142" s="129" t="s">
        <v>2004</v>
      </c>
      <c r="H142" s="155" t="s">
        <v>1287</v>
      </c>
      <c r="I142" s="140" t="s">
        <v>1288</v>
      </c>
      <c r="J142" s="120">
        <v>45972</v>
      </c>
      <c r="K142" s="120"/>
      <c r="L142" s="77">
        <v>7</v>
      </c>
      <c r="M142" s="139"/>
      <c r="N142" s="139"/>
      <c r="O142" s="139"/>
      <c r="P142" s="139"/>
      <c r="Q142" s="139"/>
      <c r="R142" s="139"/>
      <c r="S142" s="139"/>
    </row>
    <row r="143" spans="1:19" ht="57.6" hidden="1" x14ac:dyDescent="0.3">
      <c r="A143" s="129" t="s">
        <v>2005</v>
      </c>
      <c r="B143" s="131" t="s">
        <v>219</v>
      </c>
      <c r="C143" s="140" t="s">
        <v>2006</v>
      </c>
      <c r="D143" s="129" t="s">
        <v>2007</v>
      </c>
      <c r="E143" s="129" t="s">
        <v>2008</v>
      </c>
      <c r="F143" s="129" t="s">
        <v>2009</v>
      </c>
      <c r="G143" s="129" t="s">
        <v>2010</v>
      </c>
      <c r="H143" s="129" t="s">
        <v>2011</v>
      </c>
      <c r="I143" s="140" t="s">
        <v>2012</v>
      </c>
      <c r="J143" s="120">
        <v>45972</v>
      </c>
      <c r="K143" s="120"/>
      <c r="L143" s="120"/>
      <c r="M143" s="139"/>
      <c r="N143" s="139"/>
      <c r="O143" s="139"/>
      <c r="P143" s="139"/>
      <c r="Q143" s="139"/>
      <c r="R143" s="139"/>
      <c r="S143" s="139"/>
    </row>
    <row r="144" spans="1:19" ht="57.6" hidden="1" x14ac:dyDescent="0.3">
      <c r="A144" s="129" t="s">
        <v>2013</v>
      </c>
      <c r="B144" s="131" t="s">
        <v>219</v>
      </c>
      <c r="C144" s="140" t="s">
        <v>2014</v>
      </c>
      <c r="D144" s="129" t="s">
        <v>2015</v>
      </c>
      <c r="E144" s="129" t="s">
        <v>2016</v>
      </c>
      <c r="F144" s="129" t="s">
        <v>2017</v>
      </c>
      <c r="G144" s="129" t="s">
        <v>2018</v>
      </c>
      <c r="H144" s="129" t="s">
        <v>2019</v>
      </c>
      <c r="I144" s="140" t="s">
        <v>2020</v>
      </c>
      <c r="J144" s="120">
        <v>45972</v>
      </c>
      <c r="K144" s="120"/>
      <c r="L144" s="120"/>
      <c r="M144" s="139"/>
      <c r="N144" s="139"/>
      <c r="O144" s="139"/>
      <c r="P144" s="139"/>
      <c r="Q144" s="139"/>
      <c r="R144" s="139"/>
      <c r="S144" s="139"/>
    </row>
    <row r="145" spans="1:19" ht="43.2" hidden="1" x14ac:dyDescent="0.3">
      <c r="A145" s="129" t="s">
        <v>2021</v>
      </c>
      <c r="B145" s="131" t="s">
        <v>219</v>
      </c>
      <c r="C145" s="140" t="s">
        <v>2022</v>
      </c>
      <c r="D145" s="129" t="s">
        <v>2023</v>
      </c>
      <c r="E145" s="129" t="s">
        <v>2024</v>
      </c>
      <c r="F145" s="129" t="s">
        <v>2025</v>
      </c>
      <c r="G145" s="129" t="s">
        <v>2026</v>
      </c>
      <c r="H145" s="129" t="s">
        <v>2027</v>
      </c>
      <c r="I145" s="140" t="s">
        <v>2028</v>
      </c>
      <c r="J145" s="120">
        <v>45972</v>
      </c>
      <c r="K145" s="120"/>
      <c r="L145" s="120"/>
      <c r="M145" s="139"/>
      <c r="N145" s="139"/>
      <c r="O145" s="139"/>
      <c r="P145" s="139"/>
      <c r="Q145" s="139"/>
      <c r="R145" s="139"/>
      <c r="S145" s="139"/>
    </row>
    <row r="146" spans="1:19" ht="72" hidden="1" x14ac:dyDescent="0.3">
      <c r="A146" s="129" t="s">
        <v>2029</v>
      </c>
      <c r="B146" s="131" t="s">
        <v>219</v>
      </c>
      <c r="C146" s="140" t="s">
        <v>2030</v>
      </c>
      <c r="D146" s="129" t="s">
        <v>2031</v>
      </c>
      <c r="E146" s="129" t="s">
        <v>2008</v>
      </c>
      <c r="F146" s="129" t="s">
        <v>2032</v>
      </c>
      <c r="G146" s="129" t="s">
        <v>2033</v>
      </c>
      <c r="H146" s="129" t="s">
        <v>2034</v>
      </c>
      <c r="I146" s="140" t="s">
        <v>2035</v>
      </c>
      <c r="J146" s="120">
        <v>45972</v>
      </c>
      <c r="K146" s="120"/>
      <c r="L146" s="120"/>
      <c r="M146" s="139"/>
      <c r="N146" s="139"/>
      <c r="O146" s="139"/>
      <c r="P146" s="139"/>
      <c r="Q146" s="139"/>
      <c r="R146" s="139"/>
      <c r="S146" s="139"/>
    </row>
    <row r="147" spans="1:19" ht="43.2" hidden="1" x14ac:dyDescent="0.3">
      <c r="A147" s="129" t="s">
        <v>2036</v>
      </c>
      <c r="B147" s="131" t="s">
        <v>219</v>
      </c>
      <c r="C147" s="140" t="s">
        <v>2037</v>
      </c>
      <c r="D147" s="129" t="s">
        <v>2038</v>
      </c>
      <c r="E147" s="129" t="s">
        <v>2039</v>
      </c>
      <c r="F147" s="129" t="s">
        <v>2040</v>
      </c>
      <c r="G147" s="129" t="s">
        <v>2041</v>
      </c>
      <c r="H147" s="129" t="s">
        <v>2042</v>
      </c>
      <c r="I147" s="140" t="s">
        <v>2043</v>
      </c>
      <c r="J147" s="120">
        <v>45972</v>
      </c>
      <c r="K147" s="120"/>
      <c r="L147" s="120"/>
      <c r="M147" s="139"/>
      <c r="N147" s="139"/>
      <c r="O147" s="139"/>
      <c r="P147" s="139"/>
      <c r="Q147" s="139"/>
      <c r="R147" s="139"/>
      <c r="S147" s="139"/>
    </row>
    <row r="148" spans="1:19" ht="43.2" hidden="1" x14ac:dyDescent="0.3">
      <c r="A148" s="129" t="s">
        <v>2044</v>
      </c>
      <c r="B148" s="131" t="s">
        <v>219</v>
      </c>
      <c r="C148" s="140" t="s">
        <v>2037</v>
      </c>
      <c r="D148" s="129" t="s">
        <v>2045</v>
      </c>
      <c r="E148" s="129" t="s">
        <v>2046</v>
      </c>
      <c r="F148" s="129" t="s">
        <v>2047</v>
      </c>
      <c r="G148" s="129" t="s">
        <v>2048</v>
      </c>
      <c r="H148" s="129" t="s">
        <v>2049</v>
      </c>
      <c r="I148" s="140" t="s">
        <v>2050</v>
      </c>
      <c r="J148" s="120">
        <v>45972</v>
      </c>
      <c r="K148" s="120"/>
      <c r="L148" s="120"/>
      <c r="M148" s="139"/>
      <c r="N148" s="139"/>
      <c r="O148" s="139"/>
      <c r="P148" s="139"/>
      <c r="Q148" s="139"/>
      <c r="R148" s="139"/>
      <c r="S148" s="139"/>
    </row>
    <row r="149" spans="1:19" ht="57.6" hidden="1" x14ac:dyDescent="0.3">
      <c r="A149" s="129" t="s">
        <v>2051</v>
      </c>
      <c r="B149" s="131" t="s">
        <v>219</v>
      </c>
      <c r="C149" s="140" t="s">
        <v>2037</v>
      </c>
      <c r="D149" s="129" t="s">
        <v>2052</v>
      </c>
      <c r="E149" s="129" t="s">
        <v>2053</v>
      </c>
      <c r="F149" s="129" t="s">
        <v>2054</v>
      </c>
      <c r="G149" s="129" t="s">
        <v>2055</v>
      </c>
      <c r="H149" s="129" t="s">
        <v>2056</v>
      </c>
      <c r="I149" s="140" t="s">
        <v>2057</v>
      </c>
      <c r="J149" s="120">
        <v>45972</v>
      </c>
      <c r="K149" s="120"/>
      <c r="L149" s="120"/>
      <c r="M149" s="139"/>
      <c r="N149" s="139"/>
      <c r="O149" s="139"/>
      <c r="P149" s="139"/>
      <c r="Q149" s="139"/>
      <c r="R149" s="139"/>
      <c r="S149" s="139"/>
    </row>
    <row r="150" spans="1:19" ht="43.2" hidden="1" x14ac:dyDescent="0.3">
      <c r="A150" s="129" t="s">
        <v>2058</v>
      </c>
      <c r="B150" s="131" t="s">
        <v>219</v>
      </c>
      <c r="C150" s="140" t="s">
        <v>2037</v>
      </c>
      <c r="D150" s="129" t="s">
        <v>2059</v>
      </c>
      <c r="E150" s="129" t="s">
        <v>2060</v>
      </c>
      <c r="F150" s="129" t="s">
        <v>2061</v>
      </c>
      <c r="G150" s="129" t="s">
        <v>2062</v>
      </c>
      <c r="H150" s="129" t="s">
        <v>2063</v>
      </c>
      <c r="I150" s="140" t="s">
        <v>2064</v>
      </c>
      <c r="J150" s="120">
        <v>45972</v>
      </c>
      <c r="K150" s="120"/>
      <c r="L150" s="120"/>
      <c r="M150" s="139"/>
      <c r="N150" s="139"/>
      <c r="O150" s="139"/>
      <c r="P150" s="139"/>
      <c r="Q150" s="139"/>
      <c r="R150" s="139"/>
      <c r="S150" s="139"/>
    </row>
    <row r="151" spans="1:19" ht="57.6" hidden="1" x14ac:dyDescent="0.3">
      <c r="A151" s="129" t="s">
        <v>2065</v>
      </c>
      <c r="B151" s="132" t="s">
        <v>305</v>
      </c>
      <c r="C151" s="140" t="s">
        <v>2006</v>
      </c>
      <c r="D151" s="129" t="s">
        <v>2066</v>
      </c>
      <c r="E151" s="129" t="s">
        <v>2016</v>
      </c>
      <c r="F151" s="129" t="s">
        <v>2067</v>
      </c>
      <c r="G151" s="129" t="s">
        <v>2068</v>
      </c>
      <c r="H151" s="129" t="s">
        <v>2069</v>
      </c>
      <c r="I151" s="140" t="s">
        <v>2070</v>
      </c>
      <c r="J151" s="120">
        <v>45972</v>
      </c>
      <c r="K151" s="120"/>
      <c r="L151" s="120"/>
      <c r="M151" s="89"/>
      <c r="N151" s="89"/>
      <c r="O151" s="89"/>
      <c r="P151" s="89"/>
      <c r="Q151" s="89"/>
      <c r="R151" s="89"/>
      <c r="S151" s="89"/>
    </row>
    <row r="152" spans="1:19" ht="57.6" hidden="1" x14ac:dyDescent="0.3">
      <c r="A152" s="129" t="s">
        <v>2071</v>
      </c>
      <c r="B152" s="132" t="s">
        <v>305</v>
      </c>
      <c r="C152" s="140" t="s">
        <v>2014</v>
      </c>
      <c r="D152" s="129" t="s">
        <v>2072</v>
      </c>
      <c r="E152" s="129" t="s">
        <v>2073</v>
      </c>
      <c r="F152" s="129" t="s">
        <v>2074</v>
      </c>
      <c r="G152" s="129" t="s">
        <v>2075</v>
      </c>
      <c r="H152" s="129" t="s">
        <v>2076</v>
      </c>
      <c r="I152" s="140" t="s">
        <v>2077</v>
      </c>
      <c r="J152" s="120">
        <v>45972</v>
      </c>
      <c r="K152" s="120"/>
      <c r="L152" s="120"/>
      <c r="M152" s="89"/>
      <c r="N152" s="89"/>
      <c r="O152" s="89"/>
      <c r="P152" s="89"/>
      <c r="Q152" s="89"/>
      <c r="R152" s="89"/>
      <c r="S152" s="89"/>
    </row>
    <row r="153" spans="1:19" ht="43.2" hidden="1" x14ac:dyDescent="0.3">
      <c r="A153" s="129" t="s">
        <v>2078</v>
      </c>
      <c r="B153" s="132" t="s">
        <v>305</v>
      </c>
      <c r="C153" s="140" t="s">
        <v>2079</v>
      </c>
      <c r="D153" s="129" t="s">
        <v>2080</v>
      </c>
      <c r="E153" s="129" t="s">
        <v>2081</v>
      </c>
      <c r="F153" s="129" t="s">
        <v>2082</v>
      </c>
      <c r="G153" s="129" t="s">
        <v>2083</v>
      </c>
      <c r="H153" s="129" t="s">
        <v>2084</v>
      </c>
      <c r="I153" s="140" t="s">
        <v>2085</v>
      </c>
      <c r="J153" s="120">
        <v>45972</v>
      </c>
      <c r="K153" s="120"/>
      <c r="L153" s="120"/>
      <c r="M153" s="89"/>
      <c r="N153" s="89"/>
      <c r="O153" s="89"/>
      <c r="P153" s="89"/>
      <c r="Q153" s="89"/>
      <c r="R153" s="89"/>
      <c r="S153" s="89"/>
    </row>
    <row r="154" spans="1:19" ht="43.2" hidden="1" x14ac:dyDescent="0.3">
      <c r="A154" s="129" t="s">
        <v>2086</v>
      </c>
      <c r="B154" s="132" t="s">
        <v>305</v>
      </c>
      <c r="C154" s="140" t="s">
        <v>2087</v>
      </c>
      <c r="D154" s="129" t="s">
        <v>2088</v>
      </c>
      <c r="E154" s="129" t="s">
        <v>2089</v>
      </c>
      <c r="F154" s="129" t="s">
        <v>2090</v>
      </c>
      <c r="G154" s="129" t="s">
        <v>2091</v>
      </c>
      <c r="H154" s="129" t="s">
        <v>2092</v>
      </c>
      <c r="I154" s="140" t="s">
        <v>2093</v>
      </c>
      <c r="J154" s="120">
        <v>45972</v>
      </c>
      <c r="K154" s="120"/>
      <c r="L154" s="120"/>
      <c r="M154" s="89"/>
      <c r="N154" s="89"/>
      <c r="O154" s="89"/>
      <c r="P154" s="89"/>
      <c r="Q154" s="89"/>
      <c r="R154" s="89"/>
      <c r="S154" s="89"/>
    </row>
    <row r="155" spans="1:19" ht="43.2" hidden="1" x14ac:dyDescent="0.3">
      <c r="A155" s="129" t="s">
        <v>2094</v>
      </c>
      <c r="B155" s="132" t="s">
        <v>305</v>
      </c>
      <c r="C155" s="140" t="s">
        <v>2022</v>
      </c>
      <c r="D155" s="129" t="s">
        <v>2095</v>
      </c>
      <c r="E155" s="129" t="s">
        <v>2096</v>
      </c>
      <c r="F155" s="129" t="s">
        <v>2097</v>
      </c>
      <c r="G155" s="129" t="s">
        <v>2098</v>
      </c>
      <c r="H155" s="129" t="s">
        <v>2099</v>
      </c>
      <c r="I155" s="140" t="s">
        <v>2100</v>
      </c>
      <c r="J155" s="120">
        <v>45972</v>
      </c>
      <c r="K155" s="120"/>
      <c r="L155" s="120"/>
      <c r="M155" s="89"/>
      <c r="N155" s="89"/>
      <c r="O155" s="89"/>
      <c r="P155" s="89"/>
      <c r="Q155" s="89"/>
      <c r="R155" s="89"/>
      <c r="S155" s="89"/>
    </row>
    <row r="156" spans="1:19" ht="43.2" hidden="1" x14ac:dyDescent="0.3">
      <c r="A156" s="129" t="s">
        <v>2101</v>
      </c>
      <c r="B156" s="132" t="s">
        <v>305</v>
      </c>
      <c r="C156" s="140" t="s">
        <v>2030</v>
      </c>
      <c r="D156" s="129" t="s">
        <v>2102</v>
      </c>
      <c r="E156" s="129" t="s">
        <v>2103</v>
      </c>
      <c r="F156" s="129" t="s">
        <v>2104</v>
      </c>
      <c r="G156" s="129" t="s">
        <v>2105</v>
      </c>
      <c r="H156" s="129" t="s">
        <v>2106</v>
      </c>
      <c r="I156" s="140" t="s">
        <v>2107</v>
      </c>
      <c r="J156" s="120">
        <v>45972</v>
      </c>
      <c r="K156" s="120"/>
      <c r="L156" s="120"/>
      <c r="M156" s="89"/>
      <c r="N156" s="89"/>
      <c r="O156" s="89"/>
      <c r="P156" s="89"/>
      <c r="Q156" s="89"/>
      <c r="R156" s="89"/>
      <c r="S156" s="89"/>
    </row>
    <row r="157" spans="1:19" ht="43.2" hidden="1" x14ac:dyDescent="0.3">
      <c r="A157" s="129" t="s">
        <v>2108</v>
      </c>
      <c r="B157" s="132" t="s">
        <v>305</v>
      </c>
      <c r="C157" s="140" t="s">
        <v>2030</v>
      </c>
      <c r="D157" s="129" t="s">
        <v>2109</v>
      </c>
      <c r="E157" s="129" t="s">
        <v>2110</v>
      </c>
      <c r="F157" s="129" t="s">
        <v>2111</v>
      </c>
      <c r="G157" s="129" t="s">
        <v>2112</v>
      </c>
      <c r="H157" s="129" t="s">
        <v>2113</v>
      </c>
      <c r="I157" s="140" t="s">
        <v>2114</v>
      </c>
      <c r="J157" s="120">
        <v>45972</v>
      </c>
      <c r="K157" s="120"/>
      <c r="L157" s="120"/>
      <c r="M157" s="89"/>
      <c r="N157" s="89"/>
      <c r="O157" s="89"/>
      <c r="P157" s="89"/>
      <c r="Q157" s="89"/>
      <c r="R157" s="89"/>
      <c r="S157" s="89"/>
    </row>
    <row r="158" spans="1:19" ht="57.6" hidden="1" x14ac:dyDescent="0.3">
      <c r="A158" s="129" t="s">
        <v>2115</v>
      </c>
      <c r="B158" s="132" t="s">
        <v>305</v>
      </c>
      <c r="C158" s="140" t="s">
        <v>2037</v>
      </c>
      <c r="D158" s="129" t="s">
        <v>2116</v>
      </c>
      <c r="E158" s="129" t="s">
        <v>2117</v>
      </c>
      <c r="F158" s="129" t="s">
        <v>2118</v>
      </c>
      <c r="G158" s="129" t="s">
        <v>2119</v>
      </c>
      <c r="H158" s="129" t="s">
        <v>2120</v>
      </c>
      <c r="I158" s="140" t="s">
        <v>2121</v>
      </c>
      <c r="J158" s="120">
        <v>45972</v>
      </c>
      <c r="K158" s="120"/>
      <c r="L158" s="120"/>
      <c r="M158" s="89"/>
      <c r="N158" s="89"/>
      <c r="O158" s="89"/>
      <c r="P158" s="89"/>
      <c r="Q158" s="89"/>
      <c r="R158" s="89"/>
      <c r="S158" s="89"/>
    </row>
    <row r="159" spans="1:19" ht="57.6" hidden="1" x14ac:dyDescent="0.3">
      <c r="A159" s="129" t="s">
        <v>2122</v>
      </c>
      <c r="B159" s="132" t="s">
        <v>305</v>
      </c>
      <c r="C159" s="140" t="s">
        <v>2037</v>
      </c>
      <c r="D159" s="129" t="s">
        <v>2123</v>
      </c>
      <c r="E159" s="129" t="s">
        <v>2124</v>
      </c>
      <c r="F159" s="129" t="s">
        <v>2125</v>
      </c>
      <c r="G159" s="129" t="s">
        <v>2126</v>
      </c>
      <c r="H159" s="129" t="s">
        <v>2127</v>
      </c>
      <c r="I159" s="140" t="s">
        <v>2128</v>
      </c>
      <c r="J159" s="120">
        <v>45972</v>
      </c>
      <c r="K159" s="120"/>
      <c r="L159" s="120"/>
      <c r="M159" s="89"/>
      <c r="N159" s="89"/>
      <c r="O159" s="89"/>
      <c r="P159" s="89"/>
      <c r="Q159" s="89"/>
      <c r="R159" s="89"/>
      <c r="S159" s="89"/>
    </row>
    <row r="160" spans="1:19" ht="43.2" hidden="1" x14ac:dyDescent="0.3">
      <c r="A160" s="129" t="s">
        <v>2129</v>
      </c>
      <c r="B160" s="132" t="s">
        <v>305</v>
      </c>
      <c r="C160" s="140" t="s">
        <v>2037</v>
      </c>
      <c r="D160" s="129" t="s">
        <v>2130</v>
      </c>
      <c r="E160" s="129" t="s">
        <v>2131</v>
      </c>
      <c r="F160" s="129" t="s">
        <v>2132</v>
      </c>
      <c r="G160" s="129" t="s">
        <v>2133</v>
      </c>
      <c r="H160" s="129" t="s">
        <v>2134</v>
      </c>
      <c r="I160" s="140" t="s">
        <v>2135</v>
      </c>
      <c r="J160" s="120">
        <v>45972</v>
      </c>
      <c r="K160" s="120"/>
      <c r="L160" s="120"/>
      <c r="M160" s="89"/>
      <c r="N160" s="89"/>
      <c r="O160" s="89"/>
      <c r="P160" s="89"/>
      <c r="Q160" s="89"/>
      <c r="R160" s="89"/>
      <c r="S160" s="89"/>
    </row>
    <row r="161" spans="1:19" ht="57.6" hidden="1" x14ac:dyDescent="0.3">
      <c r="A161" s="129" t="s">
        <v>2136</v>
      </c>
      <c r="B161" s="132" t="s">
        <v>305</v>
      </c>
      <c r="C161" s="140" t="s">
        <v>2037</v>
      </c>
      <c r="D161" s="129" t="s">
        <v>2137</v>
      </c>
      <c r="E161" s="129" t="s">
        <v>2138</v>
      </c>
      <c r="F161" s="129" t="s">
        <v>2139</v>
      </c>
      <c r="G161" s="129" t="s">
        <v>2140</v>
      </c>
      <c r="H161" s="129" t="s">
        <v>2141</v>
      </c>
      <c r="I161" s="140" t="s">
        <v>2142</v>
      </c>
      <c r="J161" s="120">
        <v>45972</v>
      </c>
      <c r="K161" s="120"/>
      <c r="L161" s="120"/>
      <c r="M161" s="89"/>
      <c r="N161" s="89"/>
      <c r="O161" s="89"/>
      <c r="P161" s="89"/>
      <c r="Q161" s="89"/>
      <c r="R161" s="89"/>
      <c r="S161" s="89"/>
    </row>
    <row r="162" spans="1:19" ht="43.2" hidden="1" x14ac:dyDescent="0.3">
      <c r="A162" s="129" t="s">
        <v>2143</v>
      </c>
      <c r="B162" s="132" t="s">
        <v>305</v>
      </c>
      <c r="C162" s="140" t="s">
        <v>2037</v>
      </c>
      <c r="D162" s="129" t="s">
        <v>2144</v>
      </c>
      <c r="E162" s="129" t="s">
        <v>2145</v>
      </c>
      <c r="F162" s="129" t="s">
        <v>2146</v>
      </c>
      <c r="G162" s="129" t="s">
        <v>2147</v>
      </c>
      <c r="H162" s="129" t="s">
        <v>2148</v>
      </c>
      <c r="I162" s="140" t="s">
        <v>2149</v>
      </c>
      <c r="J162" s="120">
        <v>45972</v>
      </c>
      <c r="K162" s="120"/>
      <c r="L162" s="120"/>
      <c r="M162" s="89"/>
      <c r="N162" s="89"/>
      <c r="O162" s="89"/>
      <c r="P162" s="89"/>
      <c r="Q162" s="89"/>
      <c r="R162" s="89"/>
      <c r="S162" s="89"/>
    </row>
    <row r="163" spans="1:19" ht="43.2" hidden="1" x14ac:dyDescent="0.3">
      <c r="A163" s="129" t="s">
        <v>2150</v>
      </c>
      <c r="B163" s="132" t="s">
        <v>305</v>
      </c>
      <c r="C163" s="140" t="s">
        <v>2006</v>
      </c>
      <c r="D163" s="129" t="s">
        <v>2151</v>
      </c>
      <c r="E163" s="129" t="s">
        <v>2008</v>
      </c>
      <c r="F163" s="129" t="s">
        <v>2152</v>
      </c>
      <c r="G163" s="129" t="s">
        <v>2153</v>
      </c>
      <c r="H163" s="129" t="s">
        <v>2154</v>
      </c>
      <c r="I163" s="140" t="s">
        <v>2012</v>
      </c>
      <c r="J163" s="120">
        <v>45972</v>
      </c>
      <c r="K163" s="120"/>
      <c r="L163" s="120"/>
      <c r="M163" s="89"/>
      <c r="N163" s="89"/>
      <c r="O163" s="89"/>
      <c r="P163" s="89"/>
      <c r="Q163" s="89"/>
      <c r="R163" s="89"/>
      <c r="S163" s="89"/>
    </row>
    <row r="164" spans="1:19" ht="43.2" hidden="1" x14ac:dyDescent="0.3">
      <c r="A164" s="129" t="s">
        <v>2155</v>
      </c>
      <c r="B164" s="132" t="s">
        <v>305</v>
      </c>
      <c r="C164" s="140" t="s">
        <v>2037</v>
      </c>
      <c r="D164" s="129" t="s">
        <v>2156</v>
      </c>
      <c r="E164" s="129" t="s">
        <v>2157</v>
      </c>
      <c r="F164" s="129" t="s">
        <v>2158</v>
      </c>
      <c r="G164" s="129" t="s">
        <v>2159</v>
      </c>
      <c r="H164" s="129" t="s">
        <v>2160</v>
      </c>
      <c r="I164" s="140" t="s">
        <v>2161</v>
      </c>
      <c r="J164" s="120">
        <v>45972</v>
      </c>
      <c r="K164" s="120"/>
      <c r="L164" s="120"/>
      <c r="M164" s="89"/>
      <c r="N164" s="89"/>
      <c r="O164" s="89"/>
      <c r="P164" s="89"/>
      <c r="Q164" s="89"/>
      <c r="R164" s="89"/>
      <c r="S164" s="89"/>
    </row>
    <row r="165" spans="1:19" ht="57.6" hidden="1" x14ac:dyDescent="0.3">
      <c r="A165" s="129" t="s">
        <v>2162</v>
      </c>
      <c r="B165" s="133" t="s">
        <v>539</v>
      </c>
      <c r="C165" s="140" t="s">
        <v>2079</v>
      </c>
      <c r="D165" s="129" t="s">
        <v>2163</v>
      </c>
      <c r="E165" s="129" t="s">
        <v>2164</v>
      </c>
      <c r="F165" s="129" t="s">
        <v>2165</v>
      </c>
      <c r="G165" s="129" t="s">
        <v>2166</v>
      </c>
      <c r="H165" s="129" t="s">
        <v>2167</v>
      </c>
      <c r="I165" s="140" t="s">
        <v>2168</v>
      </c>
      <c r="J165" s="120">
        <v>45972</v>
      </c>
      <c r="K165" s="120"/>
      <c r="L165" s="120"/>
      <c r="M165" s="89"/>
      <c r="N165" s="89"/>
      <c r="O165" s="89"/>
      <c r="P165" s="89"/>
      <c r="Q165" s="89"/>
      <c r="R165" s="89"/>
      <c r="S165" s="89"/>
    </row>
    <row r="166" spans="1:19" ht="43.2" hidden="1" x14ac:dyDescent="0.3">
      <c r="A166" s="129" t="s">
        <v>2169</v>
      </c>
      <c r="B166" s="133" t="s">
        <v>539</v>
      </c>
      <c r="C166" s="140" t="s">
        <v>2087</v>
      </c>
      <c r="D166" s="129" t="s">
        <v>2170</v>
      </c>
      <c r="E166" s="129" t="s">
        <v>2171</v>
      </c>
      <c r="F166" s="129" t="s">
        <v>2172</v>
      </c>
      <c r="G166" s="129" t="s">
        <v>2173</v>
      </c>
      <c r="H166" s="129" t="s">
        <v>2174</v>
      </c>
      <c r="I166" s="140" t="s">
        <v>2175</v>
      </c>
      <c r="J166" s="120">
        <v>45972</v>
      </c>
      <c r="K166" s="120"/>
      <c r="L166" s="120"/>
      <c r="M166" s="89"/>
      <c r="N166" s="89"/>
      <c r="O166" s="89"/>
      <c r="P166" s="89"/>
      <c r="Q166" s="89"/>
      <c r="R166" s="89"/>
      <c r="S166" s="89"/>
    </row>
    <row r="167" spans="1:19" ht="43.2" hidden="1" x14ac:dyDescent="0.3">
      <c r="A167" s="129" t="s">
        <v>2176</v>
      </c>
      <c r="B167" s="133" t="s">
        <v>539</v>
      </c>
      <c r="C167" s="140" t="s">
        <v>2006</v>
      </c>
      <c r="D167" s="129" t="s">
        <v>2177</v>
      </c>
      <c r="E167" s="129" t="s">
        <v>2178</v>
      </c>
      <c r="F167" s="129" t="s">
        <v>2179</v>
      </c>
      <c r="G167" s="129" t="s">
        <v>2180</v>
      </c>
      <c r="H167" s="129" t="s">
        <v>2181</v>
      </c>
      <c r="I167" s="140" t="s">
        <v>2182</v>
      </c>
      <c r="J167" s="120">
        <v>45972</v>
      </c>
      <c r="K167" s="120"/>
      <c r="L167" s="120"/>
      <c r="M167" s="89"/>
      <c r="N167" s="89"/>
      <c r="O167" s="89"/>
      <c r="P167" s="89"/>
      <c r="Q167" s="89"/>
      <c r="R167" s="89"/>
      <c r="S167" s="89"/>
    </row>
    <row r="168" spans="1:19" ht="43.2" hidden="1" x14ac:dyDescent="0.3">
      <c r="A168" s="129" t="s">
        <v>2183</v>
      </c>
      <c r="B168" s="133" t="s">
        <v>539</v>
      </c>
      <c r="C168" s="140" t="s">
        <v>2014</v>
      </c>
      <c r="D168" s="129" t="s">
        <v>2184</v>
      </c>
      <c r="E168" s="129" t="s">
        <v>2185</v>
      </c>
      <c r="F168" s="129" t="s">
        <v>2186</v>
      </c>
      <c r="G168" s="129" t="s">
        <v>2187</v>
      </c>
      <c r="H168" s="129" t="s">
        <v>2188</v>
      </c>
      <c r="I168" s="140" t="s">
        <v>2189</v>
      </c>
      <c r="J168" s="120">
        <v>45972</v>
      </c>
      <c r="K168" s="120"/>
      <c r="L168" s="120"/>
      <c r="M168" s="89"/>
      <c r="N168" s="89"/>
      <c r="O168" s="89"/>
      <c r="P168" s="89"/>
      <c r="Q168" s="89"/>
      <c r="R168" s="89"/>
      <c r="S168" s="89"/>
    </row>
    <row r="169" spans="1:19" ht="57.6" hidden="1" x14ac:dyDescent="0.3">
      <c r="A169" s="129" t="s">
        <v>2190</v>
      </c>
      <c r="B169" s="131" t="s">
        <v>219</v>
      </c>
      <c r="C169" s="140" t="s">
        <v>2014</v>
      </c>
      <c r="D169" s="129" t="s">
        <v>2191</v>
      </c>
      <c r="E169" s="129" t="s">
        <v>2192</v>
      </c>
      <c r="F169" s="129" t="s">
        <v>2193</v>
      </c>
      <c r="G169" s="129" t="s">
        <v>2194</v>
      </c>
      <c r="H169" s="129" t="s">
        <v>2195</v>
      </c>
      <c r="I169" s="140" t="s">
        <v>2196</v>
      </c>
      <c r="J169" s="144">
        <v>45973</v>
      </c>
      <c r="K169" s="144"/>
      <c r="L169" s="144"/>
      <c r="M169" s="89"/>
      <c r="N169" s="89"/>
      <c r="O169" s="89"/>
      <c r="P169" s="89"/>
      <c r="Q169" s="89"/>
      <c r="R169" s="89"/>
      <c r="S169" s="89"/>
    </row>
    <row r="170" spans="1:19" ht="43.2" hidden="1" x14ac:dyDescent="0.3">
      <c r="A170" s="129" t="s">
        <v>2197</v>
      </c>
      <c r="B170" s="131" t="s">
        <v>219</v>
      </c>
      <c r="C170" s="140" t="s">
        <v>2014</v>
      </c>
      <c r="D170" s="129" t="s">
        <v>2198</v>
      </c>
      <c r="E170" s="129" t="s">
        <v>2199</v>
      </c>
      <c r="F170" s="129" t="s">
        <v>2200</v>
      </c>
      <c r="G170" s="129" t="s">
        <v>2201</v>
      </c>
      <c r="H170" s="129" t="s">
        <v>2202</v>
      </c>
      <c r="I170" s="140" t="s">
        <v>2203</v>
      </c>
      <c r="J170" s="145">
        <v>45973</v>
      </c>
      <c r="K170" s="145"/>
      <c r="L170" s="145"/>
      <c r="M170" s="89"/>
      <c r="N170" s="89"/>
      <c r="O170" s="89"/>
      <c r="P170" s="89"/>
      <c r="Q170" s="89"/>
      <c r="R170" s="89"/>
      <c r="S170" s="89"/>
    </row>
    <row r="171" spans="1:19" ht="57.6" hidden="1" x14ac:dyDescent="0.3">
      <c r="A171" s="129" t="s">
        <v>2204</v>
      </c>
      <c r="B171" s="131" t="s">
        <v>219</v>
      </c>
      <c r="C171" s="140" t="s">
        <v>2022</v>
      </c>
      <c r="D171" s="129" t="s">
        <v>2205</v>
      </c>
      <c r="E171" s="129" t="s">
        <v>2206</v>
      </c>
      <c r="F171" s="129" t="s">
        <v>2207</v>
      </c>
      <c r="G171" s="129" t="s">
        <v>2208</v>
      </c>
      <c r="H171" s="129" t="s">
        <v>2209</v>
      </c>
      <c r="I171" s="140" t="s">
        <v>2210</v>
      </c>
      <c r="J171" s="145">
        <v>45973</v>
      </c>
      <c r="K171" s="145"/>
      <c r="L171" s="145"/>
      <c r="M171" s="89"/>
      <c r="N171" s="89"/>
      <c r="O171" s="89"/>
      <c r="P171" s="89"/>
      <c r="Q171" s="89"/>
      <c r="R171" s="89"/>
      <c r="S171" s="89"/>
    </row>
    <row r="172" spans="1:19" ht="57.6" hidden="1" x14ac:dyDescent="0.3">
      <c r="A172" s="129" t="s">
        <v>2211</v>
      </c>
      <c r="B172" s="131" t="s">
        <v>219</v>
      </c>
      <c r="C172" s="140" t="s">
        <v>2030</v>
      </c>
      <c r="D172" s="129" t="s">
        <v>2212</v>
      </c>
      <c r="E172" s="129" t="s">
        <v>2213</v>
      </c>
      <c r="F172" s="129" t="s">
        <v>2214</v>
      </c>
      <c r="G172" s="129" t="s">
        <v>2215</v>
      </c>
      <c r="H172" s="129" t="s">
        <v>2216</v>
      </c>
      <c r="I172" s="140" t="s">
        <v>2217</v>
      </c>
      <c r="J172" s="145">
        <v>45973</v>
      </c>
      <c r="K172" s="145"/>
      <c r="L172" s="145"/>
      <c r="M172" s="89"/>
      <c r="N172" s="89"/>
      <c r="O172" s="89"/>
      <c r="P172" s="89"/>
      <c r="Q172" s="89"/>
      <c r="R172" s="89"/>
      <c r="S172" s="89"/>
    </row>
    <row r="173" spans="1:19" ht="57.6" hidden="1" x14ac:dyDescent="0.3">
      <c r="A173" s="129" t="s">
        <v>2218</v>
      </c>
      <c r="B173" s="131" t="s">
        <v>219</v>
      </c>
      <c r="C173" s="140" t="s">
        <v>2037</v>
      </c>
      <c r="D173" s="129" t="s">
        <v>2219</v>
      </c>
      <c r="E173" s="129" t="s">
        <v>2220</v>
      </c>
      <c r="F173" s="129" t="s">
        <v>2221</v>
      </c>
      <c r="G173" s="129" t="s">
        <v>2222</v>
      </c>
      <c r="H173" s="129" t="s">
        <v>2223</v>
      </c>
      <c r="I173" s="140" t="s">
        <v>2224</v>
      </c>
      <c r="J173" s="145">
        <v>45973</v>
      </c>
      <c r="K173" s="145"/>
      <c r="L173" s="145"/>
      <c r="M173" s="89"/>
      <c r="N173" s="89"/>
      <c r="O173" s="89"/>
      <c r="P173" s="89"/>
      <c r="Q173" s="89"/>
      <c r="R173" s="89"/>
      <c r="S173" s="89"/>
    </row>
    <row r="174" spans="1:19" ht="57.6" hidden="1" x14ac:dyDescent="0.3">
      <c r="A174" s="129" t="s">
        <v>2225</v>
      </c>
      <c r="B174" s="131" t="s">
        <v>219</v>
      </c>
      <c r="C174" s="140" t="s">
        <v>2037</v>
      </c>
      <c r="D174" s="129" t="s">
        <v>2226</v>
      </c>
      <c r="E174" s="129" t="s">
        <v>2227</v>
      </c>
      <c r="F174" s="129" t="s">
        <v>2228</v>
      </c>
      <c r="G174" s="129" t="s">
        <v>2229</v>
      </c>
      <c r="H174" s="129" t="s">
        <v>2230</v>
      </c>
      <c r="I174" s="140" t="s">
        <v>2231</v>
      </c>
      <c r="J174" s="145">
        <v>45973</v>
      </c>
      <c r="K174" s="145"/>
      <c r="L174" s="145"/>
      <c r="M174" s="89"/>
      <c r="N174" s="89"/>
      <c r="O174" s="89"/>
      <c r="P174" s="89"/>
      <c r="Q174" s="89"/>
      <c r="R174" s="89"/>
      <c r="S174" s="89"/>
    </row>
    <row r="175" spans="1:19" ht="72" hidden="1" x14ac:dyDescent="0.3">
      <c r="A175" s="129" t="s">
        <v>2232</v>
      </c>
      <c r="B175" s="132" t="s">
        <v>305</v>
      </c>
      <c r="C175" s="140" t="s">
        <v>2006</v>
      </c>
      <c r="D175" s="129" t="s">
        <v>2233</v>
      </c>
      <c r="E175" s="129" t="s">
        <v>2234</v>
      </c>
      <c r="F175" s="129" t="s">
        <v>2235</v>
      </c>
      <c r="G175" s="129" t="s">
        <v>2236</v>
      </c>
      <c r="H175" s="129" t="s">
        <v>2237</v>
      </c>
      <c r="I175" s="140" t="s">
        <v>2238</v>
      </c>
      <c r="J175" s="145">
        <v>45973</v>
      </c>
      <c r="K175" s="145"/>
      <c r="L175" s="145"/>
      <c r="M175" s="89"/>
      <c r="N175" s="89"/>
      <c r="O175" s="89"/>
      <c r="P175" s="89"/>
      <c r="Q175" s="89"/>
      <c r="R175" s="89"/>
      <c r="S175" s="89"/>
    </row>
    <row r="176" spans="1:19" ht="57.6" hidden="1" x14ac:dyDescent="0.3">
      <c r="A176" s="129" t="s">
        <v>2239</v>
      </c>
      <c r="B176" s="132" t="s">
        <v>305</v>
      </c>
      <c r="C176" s="140" t="s">
        <v>2006</v>
      </c>
      <c r="D176" s="129" t="s">
        <v>2240</v>
      </c>
      <c r="E176" s="129" t="s">
        <v>2241</v>
      </c>
      <c r="F176" s="129" t="s">
        <v>2242</v>
      </c>
      <c r="G176" s="129" t="s">
        <v>2243</v>
      </c>
      <c r="H176" s="129" t="s">
        <v>2244</v>
      </c>
      <c r="I176" s="140" t="s">
        <v>2245</v>
      </c>
      <c r="J176" s="145">
        <v>45973</v>
      </c>
      <c r="K176" s="145"/>
      <c r="L176" s="145"/>
      <c r="M176" s="89"/>
      <c r="N176" s="89"/>
      <c r="O176" s="89"/>
      <c r="P176" s="89"/>
      <c r="Q176" s="89"/>
      <c r="R176" s="89"/>
      <c r="S176" s="89"/>
    </row>
    <row r="177" spans="1:19" ht="57.6" hidden="1" x14ac:dyDescent="0.3">
      <c r="A177" s="129" t="s">
        <v>2246</v>
      </c>
      <c r="B177" s="132" t="s">
        <v>305</v>
      </c>
      <c r="C177" s="140" t="s">
        <v>2014</v>
      </c>
      <c r="D177" s="129" t="s">
        <v>2247</v>
      </c>
      <c r="E177" s="129" t="s">
        <v>2248</v>
      </c>
      <c r="F177" s="129" t="s">
        <v>2249</v>
      </c>
      <c r="G177" s="129" t="s">
        <v>2250</v>
      </c>
      <c r="H177" s="129" t="s">
        <v>2251</v>
      </c>
      <c r="I177" s="140" t="s">
        <v>2252</v>
      </c>
      <c r="J177" s="145">
        <v>45973</v>
      </c>
      <c r="K177" s="145"/>
      <c r="L177" s="145"/>
      <c r="M177" s="89"/>
      <c r="N177" s="89"/>
      <c r="O177" s="89"/>
      <c r="P177" s="89"/>
      <c r="Q177" s="89"/>
      <c r="R177" s="89"/>
      <c r="S177" s="89"/>
    </row>
    <row r="178" spans="1:19" ht="72" hidden="1" x14ac:dyDescent="0.3">
      <c r="A178" s="129" t="s">
        <v>2253</v>
      </c>
      <c r="B178" s="132" t="s">
        <v>305</v>
      </c>
      <c r="C178" s="140" t="s">
        <v>2014</v>
      </c>
      <c r="D178" s="129" t="s">
        <v>2254</v>
      </c>
      <c r="E178" s="129" t="s">
        <v>2255</v>
      </c>
      <c r="F178" s="129" t="s">
        <v>2256</v>
      </c>
      <c r="G178" s="129" t="s">
        <v>2257</v>
      </c>
      <c r="H178" s="129" t="s">
        <v>2258</v>
      </c>
      <c r="I178" s="140" t="s">
        <v>2259</v>
      </c>
      <c r="J178" s="145">
        <v>45973</v>
      </c>
      <c r="K178" s="145"/>
      <c r="L178" s="145"/>
      <c r="M178" s="89"/>
      <c r="N178" s="89"/>
      <c r="O178" s="89"/>
      <c r="P178" s="89"/>
      <c r="Q178" s="89"/>
      <c r="R178" s="89"/>
      <c r="S178" s="89"/>
    </row>
    <row r="179" spans="1:19" ht="57.6" hidden="1" x14ac:dyDescent="0.3">
      <c r="A179" s="129" t="s">
        <v>2260</v>
      </c>
      <c r="B179" s="132" t="s">
        <v>305</v>
      </c>
      <c r="C179" s="140" t="s">
        <v>2079</v>
      </c>
      <c r="D179" s="129" t="s">
        <v>2261</v>
      </c>
      <c r="E179" s="129" t="s">
        <v>2262</v>
      </c>
      <c r="F179" s="129" t="s">
        <v>2263</v>
      </c>
      <c r="G179" s="129" t="s">
        <v>2264</v>
      </c>
      <c r="H179" s="129" t="s">
        <v>2265</v>
      </c>
      <c r="I179" s="140" t="s">
        <v>2266</v>
      </c>
      <c r="J179" s="145">
        <v>45973</v>
      </c>
      <c r="K179" s="145"/>
      <c r="L179" s="145"/>
      <c r="M179" s="89"/>
      <c r="N179" s="89"/>
      <c r="O179" s="89"/>
      <c r="P179" s="89"/>
      <c r="Q179" s="89"/>
      <c r="R179" s="89"/>
      <c r="S179" s="89"/>
    </row>
    <row r="180" spans="1:19" ht="57.6" hidden="1" x14ac:dyDescent="0.3">
      <c r="A180" s="129" t="s">
        <v>2267</v>
      </c>
      <c r="B180" s="132" t="s">
        <v>305</v>
      </c>
      <c r="C180" s="140" t="s">
        <v>2087</v>
      </c>
      <c r="D180" s="129" t="s">
        <v>2268</v>
      </c>
      <c r="E180" s="129" t="s">
        <v>2269</v>
      </c>
      <c r="F180" s="129" t="s">
        <v>2270</v>
      </c>
      <c r="G180" s="129" t="s">
        <v>2271</v>
      </c>
      <c r="H180" s="129" t="s">
        <v>2272</v>
      </c>
      <c r="I180" s="140" t="s">
        <v>2273</v>
      </c>
      <c r="J180" s="145">
        <v>45973</v>
      </c>
      <c r="K180" s="145"/>
      <c r="L180" s="145"/>
      <c r="M180" s="89"/>
      <c r="N180" s="89"/>
      <c r="O180" s="89"/>
      <c r="P180" s="89"/>
      <c r="Q180" s="89"/>
      <c r="R180" s="89"/>
      <c r="S180" s="89"/>
    </row>
    <row r="181" spans="1:19" ht="57.6" hidden="1" x14ac:dyDescent="0.3">
      <c r="A181" s="129" t="s">
        <v>2274</v>
      </c>
      <c r="B181" s="132" t="s">
        <v>305</v>
      </c>
      <c r="C181" s="140" t="s">
        <v>2022</v>
      </c>
      <c r="D181" s="129" t="s">
        <v>2275</v>
      </c>
      <c r="E181" s="129" t="s">
        <v>2234</v>
      </c>
      <c r="F181" s="129" t="s">
        <v>2276</v>
      </c>
      <c r="G181" s="129" t="s">
        <v>2277</v>
      </c>
      <c r="H181" s="129" t="s">
        <v>2278</v>
      </c>
      <c r="I181" s="140" t="s">
        <v>2279</v>
      </c>
      <c r="J181" s="145">
        <v>45973</v>
      </c>
      <c r="K181" s="145"/>
      <c r="L181" s="145"/>
      <c r="M181" s="89"/>
      <c r="N181" s="89"/>
      <c r="O181" s="89"/>
      <c r="P181" s="89"/>
      <c r="Q181" s="89"/>
      <c r="R181" s="89"/>
      <c r="S181" s="89"/>
    </row>
    <row r="182" spans="1:19" ht="57.6" hidden="1" x14ac:dyDescent="0.3">
      <c r="A182" s="129" t="s">
        <v>2280</v>
      </c>
      <c r="B182" s="132" t="s">
        <v>305</v>
      </c>
      <c r="C182" s="140" t="s">
        <v>2022</v>
      </c>
      <c r="D182" s="129" t="s">
        <v>2281</v>
      </c>
      <c r="E182" s="129" t="s">
        <v>2282</v>
      </c>
      <c r="F182" s="129" t="s">
        <v>2283</v>
      </c>
      <c r="G182" s="129" t="s">
        <v>2284</v>
      </c>
      <c r="H182" s="129" t="s">
        <v>2285</v>
      </c>
      <c r="I182" s="140" t="s">
        <v>2286</v>
      </c>
      <c r="J182" s="145">
        <v>45973</v>
      </c>
      <c r="K182" s="145"/>
      <c r="L182" s="145"/>
      <c r="M182" s="89"/>
      <c r="N182" s="89"/>
      <c r="O182" s="89"/>
      <c r="P182" s="89"/>
      <c r="Q182" s="89"/>
      <c r="R182" s="89"/>
      <c r="S182" s="89"/>
    </row>
    <row r="183" spans="1:19" ht="43.2" hidden="1" x14ac:dyDescent="0.3">
      <c r="A183" s="129" t="s">
        <v>2287</v>
      </c>
      <c r="B183" s="132" t="s">
        <v>305</v>
      </c>
      <c r="C183" s="140" t="s">
        <v>2030</v>
      </c>
      <c r="D183" s="129" t="s">
        <v>2288</v>
      </c>
      <c r="E183" s="129" t="s">
        <v>2289</v>
      </c>
      <c r="F183" s="129" t="s">
        <v>2290</v>
      </c>
      <c r="G183" s="129" t="s">
        <v>2291</v>
      </c>
      <c r="H183" s="129" t="s">
        <v>2292</v>
      </c>
      <c r="I183" s="140" t="s">
        <v>2293</v>
      </c>
      <c r="J183" s="145">
        <v>45973</v>
      </c>
      <c r="K183" s="145"/>
      <c r="L183" s="145"/>
      <c r="M183" s="89"/>
      <c r="N183" s="89"/>
      <c r="O183" s="89"/>
      <c r="P183" s="89"/>
      <c r="Q183" s="89"/>
      <c r="R183" s="89"/>
      <c r="S183" s="89"/>
    </row>
    <row r="184" spans="1:19" ht="72" hidden="1" x14ac:dyDescent="0.3">
      <c r="A184" s="129" t="s">
        <v>2294</v>
      </c>
      <c r="B184" s="132" t="s">
        <v>305</v>
      </c>
      <c r="C184" s="140" t="s">
        <v>2030</v>
      </c>
      <c r="D184" s="129" t="s">
        <v>2295</v>
      </c>
      <c r="E184" s="129" t="s">
        <v>2296</v>
      </c>
      <c r="F184" s="129" t="s">
        <v>2297</v>
      </c>
      <c r="G184" s="129" t="s">
        <v>2298</v>
      </c>
      <c r="H184" s="129" t="s">
        <v>2299</v>
      </c>
      <c r="I184" s="140" t="s">
        <v>2300</v>
      </c>
      <c r="J184" s="145">
        <v>45973</v>
      </c>
      <c r="K184" s="145"/>
      <c r="L184" s="145"/>
      <c r="M184" s="89"/>
      <c r="N184" s="89"/>
      <c r="O184" s="89"/>
      <c r="P184" s="89"/>
      <c r="Q184" s="89"/>
      <c r="R184" s="89"/>
      <c r="S184" s="89"/>
    </row>
    <row r="185" spans="1:19" ht="43.2" hidden="1" x14ac:dyDescent="0.3">
      <c r="A185" s="129" t="s">
        <v>2301</v>
      </c>
      <c r="B185" s="132" t="s">
        <v>305</v>
      </c>
      <c r="C185" s="140" t="s">
        <v>2037</v>
      </c>
      <c r="D185" s="129" t="s">
        <v>2302</v>
      </c>
      <c r="E185" s="129" t="s">
        <v>2303</v>
      </c>
      <c r="F185" s="129" t="s">
        <v>2304</v>
      </c>
      <c r="G185" s="129" t="s">
        <v>2305</v>
      </c>
      <c r="H185" s="129" t="s">
        <v>2306</v>
      </c>
      <c r="I185" s="140" t="s">
        <v>2307</v>
      </c>
      <c r="J185" s="145">
        <v>45973</v>
      </c>
      <c r="K185" s="145"/>
      <c r="L185" s="145"/>
      <c r="M185" s="89"/>
      <c r="N185" s="89"/>
      <c r="O185" s="89"/>
      <c r="P185" s="89"/>
      <c r="Q185" s="89"/>
      <c r="R185" s="89"/>
      <c r="S185" s="89"/>
    </row>
    <row r="186" spans="1:19" ht="28.8" hidden="1" x14ac:dyDescent="0.3">
      <c r="A186" s="129" t="s">
        <v>2308</v>
      </c>
      <c r="B186" s="132" t="s">
        <v>305</v>
      </c>
      <c r="C186" s="140" t="s">
        <v>2037</v>
      </c>
      <c r="D186" s="129" t="s">
        <v>2309</v>
      </c>
      <c r="E186" s="129" t="s">
        <v>2310</v>
      </c>
      <c r="F186" s="129" t="s">
        <v>2311</v>
      </c>
      <c r="G186" s="129" t="s">
        <v>2312</v>
      </c>
      <c r="H186" s="129" t="s">
        <v>2313</v>
      </c>
      <c r="I186" s="140" t="s">
        <v>2314</v>
      </c>
      <c r="J186" s="145">
        <v>45973</v>
      </c>
      <c r="K186" s="145"/>
      <c r="L186" s="145"/>
      <c r="M186" s="89"/>
      <c r="N186" s="89"/>
      <c r="O186" s="89"/>
      <c r="P186" s="89"/>
      <c r="Q186" s="89"/>
      <c r="R186" s="89"/>
      <c r="S186" s="89"/>
    </row>
    <row r="187" spans="1:19" ht="43.2" hidden="1" x14ac:dyDescent="0.3">
      <c r="A187" s="129" t="s">
        <v>2315</v>
      </c>
      <c r="B187" s="132" t="s">
        <v>305</v>
      </c>
      <c r="C187" s="140" t="s">
        <v>2037</v>
      </c>
      <c r="D187" s="129" t="s">
        <v>2316</v>
      </c>
      <c r="E187" s="129" t="s">
        <v>2317</v>
      </c>
      <c r="F187" s="129" t="s">
        <v>2318</v>
      </c>
      <c r="G187" s="129" t="s">
        <v>2319</v>
      </c>
      <c r="H187" s="129" t="s">
        <v>2320</v>
      </c>
      <c r="I187" s="140" t="s">
        <v>2321</v>
      </c>
      <c r="J187" s="145">
        <v>45973</v>
      </c>
      <c r="K187" s="145"/>
      <c r="L187" s="145"/>
      <c r="M187" s="89"/>
      <c r="N187" s="89"/>
      <c r="O187" s="89"/>
      <c r="P187" s="89"/>
      <c r="Q187" s="89"/>
      <c r="R187" s="89"/>
      <c r="S187" s="89"/>
    </row>
    <row r="188" spans="1:19" ht="57.6" hidden="1" x14ac:dyDescent="0.3">
      <c r="A188" s="129" t="s">
        <v>2322</v>
      </c>
      <c r="B188" s="132" t="s">
        <v>305</v>
      </c>
      <c r="C188" s="140" t="s">
        <v>2037</v>
      </c>
      <c r="D188" s="129" t="s">
        <v>2323</v>
      </c>
      <c r="E188" s="129" t="s">
        <v>2324</v>
      </c>
      <c r="F188" s="129" t="s">
        <v>2325</v>
      </c>
      <c r="G188" s="129" t="s">
        <v>2326</v>
      </c>
      <c r="H188" s="129" t="s">
        <v>2327</v>
      </c>
      <c r="I188" s="140" t="s">
        <v>2328</v>
      </c>
      <c r="J188" s="145">
        <v>45973</v>
      </c>
      <c r="K188" s="145"/>
      <c r="L188" s="145"/>
      <c r="M188" s="89"/>
      <c r="N188" s="89"/>
      <c r="O188" s="89"/>
      <c r="P188" s="89"/>
      <c r="Q188" s="89"/>
      <c r="R188" s="89"/>
      <c r="S188" s="89"/>
    </row>
    <row r="189" spans="1:19" ht="72" hidden="1" x14ac:dyDescent="0.3">
      <c r="A189" s="129" t="s">
        <v>2329</v>
      </c>
      <c r="B189" s="133" t="s">
        <v>539</v>
      </c>
      <c r="C189" s="140" t="s">
        <v>2006</v>
      </c>
      <c r="D189" s="129" t="s">
        <v>2330</v>
      </c>
      <c r="E189" s="129" t="s">
        <v>2331</v>
      </c>
      <c r="F189" s="129" t="s">
        <v>2332</v>
      </c>
      <c r="G189" s="129" t="s">
        <v>2333</v>
      </c>
      <c r="H189" s="129" t="s">
        <v>2334</v>
      </c>
      <c r="I189" s="140" t="s">
        <v>2335</v>
      </c>
      <c r="J189" s="145">
        <v>45973</v>
      </c>
      <c r="K189" s="145"/>
      <c r="L189" s="145"/>
      <c r="M189" s="89"/>
      <c r="N189" s="89"/>
      <c r="O189" s="89"/>
      <c r="P189" s="89"/>
      <c r="Q189" s="89"/>
      <c r="R189" s="89"/>
      <c r="S189" s="89"/>
    </row>
    <row r="190" spans="1:19" ht="57.6" hidden="1" x14ac:dyDescent="0.3">
      <c r="A190" s="129" t="s">
        <v>2336</v>
      </c>
      <c r="B190" s="133" t="s">
        <v>539</v>
      </c>
      <c r="C190" s="140" t="s">
        <v>2006</v>
      </c>
      <c r="D190" s="129" t="s">
        <v>2337</v>
      </c>
      <c r="E190" s="129" t="s">
        <v>2338</v>
      </c>
      <c r="F190" s="129" t="s">
        <v>2339</v>
      </c>
      <c r="G190" s="129" t="s">
        <v>2340</v>
      </c>
      <c r="H190" s="129" t="s">
        <v>2341</v>
      </c>
      <c r="I190" s="140" t="s">
        <v>2342</v>
      </c>
      <c r="J190" s="145">
        <v>45973</v>
      </c>
      <c r="K190" s="145"/>
      <c r="L190" s="145"/>
      <c r="M190" s="89"/>
      <c r="N190" s="89"/>
      <c r="O190" s="89"/>
      <c r="P190" s="89"/>
      <c r="Q190" s="89"/>
      <c r="R190" s="89"/>
      <c r="S190" s="89"/>
    </row>
    <row r="191" spans="1:19" ht="57.6" hidden="1" x14ac:dyDescent="0.3">
      <c r="A191" s="129" t="s">
        <v>2343</v>
      </c>
      <c r="B191" s="133" t="s">
        <v>539</v>
      </c>
      <c r="C191" s="140" t="s">
        <v>2079</v>
      </c>
      <c r="D191" s="129" t="s">
        <v>2344</v>
      </c>
      <c r="E191" s="129" t="s">
        <v>2345</v>
      </c>
      <c r="F191" s="129" t="s">
        <v>2346</v>
      </c>
      <c r="G191" s="129" t="s">
        <v>2347</v>
      </c>
      <c r="H191" s="129" t="s">
        <v>2348</v>
      </c>
      <c r="I191" s="140" t="s">
        <v>2349</v>
      </c>
      <c r="J191" s="145">
        <v>45973</v>
      </c>
      <c r="K191" s="145"/>
      <c r="L191" s="145"/>
      <c r="M191" s="89"/>
      <c r="N191" s="89"/>
      <c r="O191" s="89"/>
      <c r="P191" s="89"/>
      <c r="Q191" s="89"/>
      <c r="R191" s="89"/>
      <c r="S191" s="89"/>
    </row>
    <row r="192" spans="1:19" ht="57.6" hidden="1" x14ac:dyDescent="0.3">
      <c r="A192" s="129" t="s">
        <v>2350</v>
      </c>
      <c r="B192" s="133" t="s">
        <v>539</v>
      </c>
      <c r="C192" s="140" t="s">
        <v>2079</v>
      </c>
      <c r="D192" s="129" t="s">
        <v>2351</v>
      </c>
      <c r="E192" s="129" t="s">
        <v>2352</v>
      </c>
      <c r="F192" s="129" t="s">
        <v>2353</v>
      </c>
      <c r="G192" s="129" t="s">
        <v>2354</v>
      </c>
      <c r="H192" s="129" t="s">
        <v>2355</v>
      </c>
      <c r="I192" s="140" t="s">
        <v>2356</v>
      </c>
      <c r="J192" s="145">
        <v>45973</v>
      </c>
      <c r="K192" s="145"/>
      <c r="L192" s="145"/>
      <c r="M192" s="89"/>
      <c r="N192" s="89"/>
      <c r="O192" s="89"/>
      <c r="P192" s="89"/>
      <c r="Q192" s="89"/>
      <c r="R192" s="89"/>
      <c r="S192" s="89"/>
    </row>
    <row r="193" spans="1:19" ht="72" hidden="1" x14ac:dyDescent="0.3">
      <c r="A193" s="129" t="s">
        <v>2357</v>
      </c>
      <c r="B193" s="133" t="s">
        <v>539</v>
      </c>
      <c r="C193" s="140" t="s">
        <v>2087</v>
      </c>
      <c r="D193" s="129" t="s">
        <v>2358</v>
      </c>
      <c r="E193" s="129" t="s">
        <v>2255</v>
      </c>
      <c r="F193" s="129" t="s">
        <v>2359</v>
      </c>
      <c r="G193" s="129" t="s">
        <v>2360</v>
      </c>
      <c r="H193" s="129" t="s">
        <v>2361</v>
      </c>
      <c r="I193" s="140" t="s">
        <v>2362</v>
      </c>
      <c r="J193" s="145">
        <v>45973</v>
      </c>
      <c r="K193" s="145"/>
      <c r="L193" s="145"/>
      <c r="M193" s="89"/>
      <c r="N193" s="89"/>
      <c r="O193" s="89"/>
      <c r="P193" s="89"/>
      <c r="Q193" s="89"/>
      <c r="R193" s="89"/>
      <c r="S193" s="89"/>
    </row>
    <row r="194" spans="1:19" ht="57.6" hidden="1" x14ac:dyDescent="0.3">
      <c r="A194" s="129" t="s">
        <v>2363</v>
      </c>
      <c r="B194" s="133" t="s">
        <v>539</v>
      </c>
      <c r="C194" s="140" t="s">
        <v>2087</v>
      </c>
      <c r="D194" s="129" t="s">
        <v>2364</v>
      </c>
      <c r="E194" s="129" t="s">
        <v>2365</v>
      </c>
      <c r="F194" s="129" t="s">
        <v>2366</v>
      </c>
      <c r="G194" s="129" t="s">
        <v>2367</v>
      </c>
      <c r="H194" s="129" t="s">
        <v>2368</v>
      </c>
      <c r="I194" s="140" t="s">
        <v>2369</v>
      </c>
      <c r="J194" s="145">
        <v>45973</v>
      </c>
      <c r="K194" s="145"/>
      <c r="L194" s="145"/>
      <c r="M194" s="89"/>
      <c r="N194" s="89"/>
      <c r="O194" s="89"/>
      <c r="P194" s="89"/>
      <c r="Q194" s="89"/>
      <c r="R194" s="89"/>
      <c r="S194" s="89"/>
    </row>
  </sheetData>
  <autoFilter ref="A2:T194" xr:uid="{AEA1DDD5-8EFD-4A03-AF90-DFD40C2C570D}">
    <filterColumn colId="4">
      <filters blank="1">
        <filter val=" "/>
      </filters>
    </filterColumn>
  </autoFilter>
  <mergeCells count="3">
    <mergeCell ref="M1:P1"/>
    <mergeCell ref="Q1:R1"/>
    <mergeCell ref="A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537D-0642-4010-8073-EA6836482712}">
  <dimension ref="A1:T135"/>
  <sheetViews>
    <sheetView workbookViewId="0">
      <pane xSplit="4" topLeftCell="G1" activePane="topRight" state="frozen"/>
      <selection pane="topRight" activeCell="I5" sqref="I5"/>
    </sheetView>
  </sheetViews>
  <sheetFormatPr defaultColWidth="9.109375" defaultRowHeight="14.4" x14ac:dyDescent="0.3"/>
  <cols>
    <col min="1" max="1" width="13.33203125" style="70" customWidth="1"/>
    <col min="2" max="2" width="11.88671875" style="70" customWidth="1"/>
    <col min="3" max="3" width="13.33203125" style="70" customWidth="1"/>
    <col min="4" max="4" width="26.44140625" style="70" customWidth="1"/>
    <col min="5" max="5" width="46" style="70" customWidth="1"/>
    <col min="6" max="6" width="42.88671875" style="70" customWidth="1"/>
    <col min="7" max="7" width="44.109375" style="70" customWidth="1"/>
    <col min="8" max="8" width="52" style="70" customWidth="1"/>
    <col min="9" max="9" width="26" style="70" customWidth="1"/>
    <col min="10" max="12" width="18" style="70" customWidth="1"/>
    <col min="13" max="13" width="26.6640625" style="70" customWidth="1"/>
    <col min="14" max="14" width="23.6640625" style="70" customWidth="1"/>
    <col min="15" max="15" width="20.33203125" style="70" customWidth="1"/>
    <col min="16" max="16" width="19.6640625" style="70" customWidth="1"/>
    <col min="17" max="17" width="32.5546875" style="70" customWidth="1"/>
    <col min="18" max="18" width="16.6640625" style="70" customWidth="1"/>
    <col min="19" max="19" width="23.44140625" style="70" customWidth="1"/>
    <col min="20" max="16384" width="9.109375" style="70"/>
  </cols>
  <sheetData>
    <row r="1" spans="1:19" ht="54.75" customHeight="1" x14ac:dyDescent="0.3">
      <c r="A1" s="283" t="s">
        <v>152</v>
      </c>
      <c r="B1" s="283"/>
      <c r="C1" s="283"/>
      <c r="D1" s="283"/>
      <c r="E1" s="283"/>
      <c r="F1" s="283"/>
      <c r="G1" s="283"/>
      <c r="H1" s="283"/>
      <c r="I1" s="283"/>
      <c r="J1" s="283"/>
      <c r="K1" s="283"/>
      <c r="L1" s="283"/>
      <c r="M1" s="280" t="s">
        <v>153</v>
      </c>
      <c r="N1" s="281"/>
      <c r="O1" s="281"/>
      <c r="P1" s="281"/>
      <c r="Q1" s="282" t="s">
        <v>152</v>
      </c>
      <c r="R1" s="282"/>
      <c r="S1" s="72"/>
    </row>
    <row r="2" spans="1:19" ht="49.5" customHeight="1" x14ac:dyDescent="0.3">
      <c r="A2" s="73" t="s">
        <v>60</v>
      </c>
      <c r="B2" s="73" t="s">
        <v>154</v>
      </c>
      <c r="C2" s="73" t="s">
        <v>1</v>
      </c>
      <c r="D2" s="73" t="s">
        <v>61</v>
      </c>
      <c r="E2" s="73" t="s">
        <v>155</v>
      </c>
      <c r="F2" s="73" t="s">
        <v>25</v>
      </c>
      <c r="G2" s="73" t="s">
        <v>156</v>
      </c>
      <c r="H2" s="73" t="s">
        <v>165</v>
      </c>
      <c r="I2" s="73" t="s">
        <v>437</v>
      </c>
      <c r="J2" s="73" t="s">
        <v>159</v>
      </c>
      <c r="K2" s="73" t="s">
        <v>438</v>
      </c>
      <c r="L2" s="73" t="s">
        <v>23</v>
      </c>
      <c r="M2" s="74" t="s">
        <v>160</v>
      </c>
      <c r="N2" s="75" t="s">
        <v>161</v>
      </c>
      <c r="O2" s="75" t="s">
        <v>162</v>
      </c>
      <c r="P2" s="75" t="s">
        <v>163</v>
      </c>
      <c r="Q2" s="76" t="s">
        <v>164</v>
      </c>
      <c r="R2" s="76" t="s">
        <v>163</v>
      </c>
      <c r="S2" s="75" t="s">
        <v>166</v>
      </c>
    </row>
    <row r="3" spans="1:19" s="125" customFormat="1" ht="57.6" x14ac:dyDescent="0.3">
      <c r="A3" s="129" t="s">
        <v>2370</v>
      </c>
      <c r="B3" s="130" t="s">
        <v>167</v>
      </c>
      <c r="C3" s="129" t="s">
        <v>1476</v>
      </c>
      <c r="D3" s="129" t="s">
        <v>2371</v>
      </c>
      <c r="E3" s="129" t="s">
        <v>2372</v>
      </c>
      <c r="F3" s="129" t="s">
        <v>2373</v>
      </c>
      <c r="G3" s="129" t="s">
        <v>2374</v>
      </c>
      <c r="H3" s="129" t="s">
        <v>2375</v>
      </c>
      <c r="I3" s="129" t="s">
        <v>2376</v>
      </c>
      <c r="J3" s="137">
        <v>45970</v>
      </c>
      <c r="K3" s="137"/>
      <c r="L3" s="141">
        <v>3</v>
      </c>
      <c r="M3" s="124"/>
      <c r="N3" s="124"/>
      <c r="O3" s="124"/>
      <c r="P3" s="124"/>
      <c r="Q3" s="124"/>
      <c r="R3" s="124"/>
      <c r="S3" s="124"/>
    </row>
    <row r="4" spans="1:19" s="125" customFormat="1" ht="61.5" customHeight="1" x14ac:dyDescent="0.3">
      <c r="A4" s="129" t="s">
        <v>2377</v>
      </c>
      <c r="B4" s="130" t="s">
        <v>167</v>
      </c>
      <c r="C4" s="129" t="s">
        <v>1314</v>
      </c>
      <c r="D4" s="129" t="s">
        <v>2378</v>
      </c>
      <c r="E4" s="129" t="s">
        <v>2379</v>
      </c>
      <c r="F4" s="129" t="s">
        <v>2380</v>
      </c>
      <c r="G4" s="129" t="s">
        <v>2381</v>
      </c>
      <c r="H4" s="129" t="s">
        <v>2382</v>
      </c>
      <c r="I4" s="129" t="s">
        <v>2383</v>
      </c>
      <c r="J4" s="137">
        <v>45970</v>
      </c>
      <c r="K4" s="137"/>
      <c r="L4" s="141">
        <v>3</v>
      </c>
      <c r="M4" s="124"/>
      <c r="N4" s="124"/>
      <c r="O4" s="124"/>
      <c r="P4" s="124"/>
      <c r="Q4" s="124"/>
      <c r="R4" s="124"/>
      <c r="S4" s="124"/>
    </row>
    <row r="5" spans="1:19" s="125" customFormat="1" ht="57.6" x14ac:dyDescent="0.3">
      <c r="A5" s="129" t="s">
        <v>2384</v>
      </c>
      <c r="B5" s="130" t="s">
        <v>167</v>
      </c>
      <c r="C5" s="129" t="s">
        <v>1314</v>
      </c>
      <c r="D5" s="129" t="s">
        <v>2385</v>
      </c>
      <c r="E5" s="129" t="s">
        <v>2386</v>
      </c>
      <c r="F5" s="129" t="s">
        <v>2387</v>
      </c>
      <c r="G5" s="129" t="s">
        <v>2388</v>
      </c>
      <c r="H5" s="129" t="s">
        <v>2389</v>
      </c>
      <c r="I5" s="129" t="s">
        <v>2390</v>
      </c>
      <c r="J5" s="137">
        <v>45970</v>
      </c>
      <c r="K5" s="137"/>
      <c r="L5" s="141">
        <v>3</v>
      </c>
      <c r="M5" s="124"/>
      <c r="N5" s="124"/>
      <c r="O5" s="124"/>
      <c r="P5" s="124"/>
      <c r="Q5" s="124"/>
      <c r="R5" s="124"/>
      <c r="S5" s="124"/>
    </row>
    <row r="6" spans="1:19" s="125" customFormat="1" ht="64.5" customHeight="1" x14ac:dyDescent="0.3">
      <c r="A6" s="129" t="s">
        <v>2391</v>
      </c>
      <c r="B6" s="130" t="s">
        <v>167</v>
      </c>
      <c r="C6" s="129" t="s">
        <v>2392</v>
      </c>
      <c r="D6" s="129" t="s">
        <v>2393</v>
      </c>
      <c r="E6" s="129" t="s">
        <v>2394</v>
      </c>
      <c r="F6" s="129" t="s">
        <v>2395</v>
      </c>
      <c r="G6" s="129" t="s">
        <v>2396</v>
      </c>
      <c r="H6" s="129" t="s">
        <v>2397</v>
      </c>
      <c r="I6" s="129" t="s">
        <v>2398</v>
      </c>
      <c r="J6" s="137">
        <v>45970</v>
      </c>
      <c r="K6" s="137"/>
      <c r="L6" s="141">
        <v>3</v>
      </c>
      <c r="M6" s="124"/>
      <c r="N6" s="124"/>
      <c r="O6" s="124"/>
      <c r="P6" s="124"/>
      <c r="Q6" s="124"/>
      <c r="R6" s="124"/>
      <c r="S6" s="124"/>
    </row>
    <row r="7" spans="1:19" s="125" customFormat="1" ht="75.75" customHeight="1" x14ac:dyDescent="0.3">
      <c r="A7" s="129" t="s">
        <v>2399</v>
      </c>
      <c r="B7" s="130" t="s">
        <v>167</v>
      </c>
      <c r="C7" s="129" t="s">
        <v>2400</v>
      </c>
      <c r="D7" s="129" t="s">
        <v>2401</v>
      </c>
      <c r="E7" s="129" t="s">
        <v>2402</v>
      </c>
      <c r="F7" s="129" t="s">
        <v>2403</v>
      </c>
      <c r="G7" s="129" t="s">
        <v>2404</v>
      </c>
      <c r="H7" s="129" t="s">
        <v>2405</v>
      </c>
      <c r="I7" s="129" t="s">
        <v>2406</v>
      </c>
      <c r="J7" s="137">
        <v>45970</v>
      </c>
      <c r="K7" s="137"/>
      <c r="L7" s="141">
        <v>3</v>
      </c>
      <c r="M7" s="124"/>
      <c r="N7" s="124"/>
      <c r="O7" s="124"/>
      <c r="P7" s="124"/>
      <c r="Q7" s="124"/>
      <c r="R7" s="124"/>
      <c r="S7" s="124"/>
    </row>
    <row r="8" spans="1:19" s="125" customFormat="1" ht="57.6" x14ac:dyDescent="0.3">
      <c r="A8" s="129" t="s">
        <v>2407</v>
      </c>
      <c r="B8" s="131" t="s">
        <v>219</v>
      </c>
      <c r="C8" s="129" t="s">
        <v>1314</v>
      </c>
      <c r="D8" s="129" t="s">
        <v>2408</v>
      </c>
      <c r="E8" s="129" t="s">
        <v>2409</v>
      </c>
      <c r="F8" s="129" t="s">
        <v>2410</v>
      </c>
      <c r="G8" s="129" t="s">
        <v>2411</v>
      </c>
      <c r="H8" s="129" t="s">
        <v>2412</v>
      </c>
      <c r="I8" s="129" t="s">
        <v>2413</v>
      </c>
      <c r="J8" s="137">
        <v>45970</v>
      </c>
      <c r="K8" s="137"/>
      <c r="L8" s="141">
        <v>4</v>
      </c>
      <c r="M8" s="124"/>
      <c r="N8" s="124"/>
      <c r="O8" s="124"/>
      <c r="P8" s="124"/>
      <c r="Q8" s="124"/>
      <c r="R8" s="124"/>
      <c r="S8" s="124"/>
    </row>
    <row r="9" spans="1:19" s="125" customFormat="1" ht="72" x14ac:dyDescent="0.3">
      <c r="A9" s="129" t="s">
        <v>2414</v>
      </c>
      <c r="B9" s="131" t="s">
        <v>219</v>
      </c>
      <c r="C9" s="129" t="s">
        <v>1372</v>
      </c>
      <c r="D9" s="129" t="s">
        <v>2415</v>
      </c>
      <c r="E9" s="129" t="s">
        <v>2416</v>
      </c>
      <c r="F9" s="129" t="s">
        <v>2417</v>
      </c>
      <c r="G9" s="129" t="s">
        <v>2418</v>
      </c>
      <c r="H9" s="129" t="s">
        <v>2419</v>
      </c>
      <c r="I9" s="129" t="s">
        <v>2420</v>
      </c>
      <c r="J9" s="137">
        <v>45970</v>
      </c>
      <c r="K9" s="137"/>
      <c r="L9" s="141">
        <v>4</v>
      </c>
      <c r="M9" s="124"/>
      <c r="N9" s="124"/>
      <c r="O9" s="124"/>
      <c r="P9" s="124"/>
      <c r="Q9" s="124"/>
      <c r="R9" s="124"/>
      <c r="S9" s="124"/>
    </row>
    <row r="10" spans="1:19" s="125" customFormat="1" ht="77.25" customHeight="1" x14ac:dyDescent="0.3">
      <c r="A10" s="129" t="s">
        <v>2421</v>
      </c>
      <c r="B10" s="131" t="s">
        <v>219</v>
      </c>
      <c r="C10" s="129" t="s">
        <v>2400</v>
      </c>
      <c r="D10" s="129" t="s">
        <v>2422</v>
      </c>
      <c r="E10" s="129" t="s">
        <v>2423</v>
      </c>
      <c r="F10" s="129" t="s">
        <v>2424</v>
      </c>
      <c r="G10" s="129" t="s">
        <v>2425</v>
      </c>
      <c r="H10" s="129" t="s">
        <v>2426</v>
      </c>
      <c r="I10" s="129" t="s">
        <v>2427</v>
      </c>
      <c r="J10" s="137">
        <v>45970</v>
      </c>
      <c r="K10" s="137"/>
      <c r="L10" s="141">
        <v>4</v>
      </c>
      <c r="M10" s="124"/>
      <c r="N10" s="124"/>
      <c r="O10" s="124"/>
      <c r="P10" s="124"/>
      <c r="Q10" s="124"/>
      <c r="R10" s="124"/>
      <c r="S10" s="124"/>
    </row>
    <row r="11" spans="1:19" s="125" customFormat="1" ht="84" customHeight="1" x14ac:dyDescent="0.3">
      <c r="A11" s="129" t="s">
        <v>2428</v>
      </c>
      <c r="B11" s="131" t="s">
        <v>219</v>
      </c>
      <c r="C11" s="129" t="s">
        <v>1372</v>
      </c>
      <c r="D11" s="129" t="s">
        <v>2429</v>
      </c>
      <c r="E11" s="129" t="s">
        <v>2430</v>
      </c>
      <c r="F11" s="129" t="s">
        <v>2431</v>
      </c>
      <c r="G11" s="129" t="s">
        <v>2432</v>
      </c>
      <c r="H11" s="129" t="s">
        <v>2433</v>
      </c>
      <c r="I11" s="129" t="s">
        <v>2434</v>
      </c>
      <c r="J11" s="137">
        <v>45970</v>
      </c>
      <c r="K11" s="137"/>
      <c r="L11" s="141">
        <v>4</v>
      </c>
      <c r="M11" s="124"/>
      <c r="N11" s="124"/>
      <c r="O11" s="124"/>
      <c r="P11" s="124"/>
      <c r="Q11" s="124"/>
      <c r="R11" s="124"/>
      <c r="S11" s="124"/>
    </row>
    <row r="12" spans="1:19" s="125" customFormat="1" ht="86.4" x14ac:dyDescent="0.3">
      <c r="A12" s="129" t="s">
        <v>2435</v>
      </c>
      <c r="B12" s="132" t="s">
        <v>305</v>
      </c>
      <c r="C12" s="129" t="s">
        <v>1491</v>
      </c>
      <c r="D12" s="129" t="s">
        <v>2436</v>
      </c>
      <c r="E12" s="129" t="s">
        <v>2437</v>
      </c>
      <c r="F12" s="129" t="s">
        <v>2438</v>
      </c>
      <c r="G12" s="129" t="s">
        <v>2439</v>
      </c>
      <c r="H12" s="129" t="s">
        <v>2440</v>
      </c>
      <c r="I12" s="129" t="s">
        <v>2441</v>
      </c>
      <c r="J12" s="137">
        <v>45970</v>
      </c>
      <c r="K12" s="137"/>
      <c r="L12" s="141">
        <v>6</v>
      </c>
      <c r="M12" s="124"/>
      <c r="N12" s="124"/>
      <c r="O12" s="124"/>
      <c r="P12" s="124"/>
      <c r="Q12" s="124"/>
      <c r="R12" s="124"/>
      <c r="S12" s="124"/>
    </row>
    <row r="13" spans="1:19" s="125" customFormat="1" ht="56.25" customHeight="1" x14ac:dyDescent="0.3">
      <c r="A13" s="129" t="s">
        <v>2442</v>
      </c>
      <c r="B13" s="132" t="s">
        <v>305</v>
      </c>
      <c r="C13" s="129" t="s">
        <v>1476</v>
      </c>
      <c r="D13" s="129" t="s">
        <v>2443</v>
      </c>
      <c r="E13" s="129" t="s">
        <v>2444</v>
      </c>
      <c r="F13" s="129" t="s">
        <v>2445</v>
      </c>
      <c r="G13" s="129" t="s">
        <v>2446</v>
      </c>
      <c r="H13" s="129" t="s">
        <v>2447</v>
      </c>
      <c r="I13" s="129" t="s">
        <v>2448</v>
      </c>
      <c r="J13" s="137">
        <v>45970</v>
      </c>
      <c r="K13" s="137"/>
      <c r="L13" s="141">
        <v>6</v>
      </c>
      <c r="M13" s="124"/>
      <c r="N13" s="124"/>
      <c r="O13" s="124"/>
      <c r="P13" s="124"/>
      <c r="Q13" s="124"/>
      <c r="R13" s="124"/>
      <c r="S13" s="124"/>
    </row>
    <row r="14" spans="1:19" s="125" customFormat="1" ht="65.25" customHeight="1" x14ac:dyDescent="0.3">
      <c r="A14" s="129" t="s">
        <v>2449</v>
      </c>
      <c r="B14" s="132" t="s">
        <v>305</v>
      </c>
      <c r="C14" s="129" t="s">
        <v>1491</v>
      </c>
      <c r="D14" s="129" t="s">
        <v>2450</v>
      </c>
      <c r="E14" s="129" t="s">
        <v>2451</v>
      </c>
      <c r="F14" s="129" t="s">
        <v>2452</v>
      </c>
      <c r="G14" s="129" t="s">
        <v>2453</v>
      </c>
      <c r="H14" s="129" t="s">
        <v>2454</v>
      </c>
      <c r="I14" s="129" t="s">
        <v>2455</v>
      </c>
      <c r="J14" s="137">
        <v>45970</v>
      </c>
      <c r="K14" s="137"/>
      <c r="L14" s="141">
        <v>6</v>
      </c>
      <c r="M14" s="124"/>
      <c r="N14" s="124"/>
      <c r="O14" s="124"/>
      <c r="P14" s="124"/>
      <c r="Q14" s="124"/>
      <c r="R14" s="124"/>
      <c r="S14" s="124"/>
    </row>
    <row r="15" spans="1:19" s="125" customFormat="1" ht="129.6" x14ac:dyDescent="0.3">
      <c r="A15" s="129" t="s">
        <v>2456</v>
      </c>
      <c r="B15" s="132" t="s">
        <v>305</v>
      </c>
      <c r="C15" s="129" t="s">
        <v>1222</v>
      </c>
      <c r="D15" s="129" t="s">
        <v>2457</v>
      </c>
      <c r="E15" s="129" t="s">
        <v>2458</v>
      </c>
      <c r="F15" s="129" t="s">
        <v>2459</v>
      </c>
      <c r="G15" s="129" t="s">
        <v>2460</v>
      </c>
      <c r="H15" s="129" t="s">
        <v>2461</v>
      </c>
      <c r="I15" s="129" t="s">
        <v>2462</v>
      </c>
      <c r="J15" s="137">
        <v>45970</v>
      </c>
      <c r="K15" s="137"/>
      <c r="L15" s="141">
        <v>6</v>
      </c>
      <c r="M15" s="124"/>
      <c r="N15" s="124"/>
      <c r="O15" s="124"/>
      <c r="P15" s="124"/>
      <c r="Q15" s="124"/>
      <c r="R15" s="124"/>
      <c r="S15" s="124"/>
    </row>
    <row r="16" spans="1:19" s="125" customFormat="1" ht="100.8" x14ac:dyDescent="0.3">
      <c r="A16" s="129" t="s">
        <v>2463</v>
      </c>
      <c r="B16" s="132" t="s">
        <v>305</v>
      </c>
      <c r="C16" s="129" t="s">
        <v>1314</v>
      </c>
      <c r="D16" s="129" t="s">
        <v>2464</v>
      </c>
      <c r="E16" s="129" t="s">
        <v>2465</v>
      </c>
      <c r="F16" s="129" t="s">
        <v>2466</v>
      </c>
      <c r="G16" s="129" t="s">
        <v>2467</v>
      </c>
      <c r="H16" s="129" t="s">
        <v>2468</v>
      </c>
      <c r="I16" s="129" t="s">
        <v>2469</v>
      </c>
      <c r="J16" s="137">
        <v>45970</v>
      </c>
      <c r="K16" s="137"/>
      <c r="L16" s="141">
        <v>6</v>
      </c>
      <c r="M16" s="124"/>
      <c r="N16" s="124"/>
      <c r="O16" s="124"/>
      <c r="P16" s="124"/>
      <c r="Q16" s="124"/>
      <c r="R16" s="124"/>
      <c r="S16" s="124"/>
    </row>
    <row r="17" spans="1:20" s="125" customFormat="1" ht="57.6" x14ac:dyDescent="0.3">
      <c r="A17" s="129" t="s">
        <v>2470</v>
      </c>
      <c r="B17" s="142" t="s">
        <v>539</v>
      </c>
      <c r="C17" s="129" t="s">
        <v>2400</v>
      </c>
      <c r="D17" s="129" t="s">
        <v>2471</v>
      </c>
      <c r="E17" s="129" t="s">
        <v>2472</v>
      </c>
      <c r="F17" s="129" t="s">
        <v>2473</v>
      </c>
      <c r="G17" s="129" t="s">
        <v>2474</v>
      </c>
      <c r="H17" s="129" t="s">
        <v>2475</v>
      </c>
      <c r="I17" s="129" t="s">
        <v>2476</v>
      </c>
      <c r="J17" s="137">
        <v>45970</v>
      </c>
      <c r="K17" s="137"/>
      <c r="L17" s="141">
        <v>6</v>
      </c>
      <c r="M17" s="124"/>
      <c r="N17" s="124"/>
      <c r="O17" s="124"/>
      <c r="P17" s="124"/>
      <c r="Q17" s="124"/>
      <c r="R17" s="124"/>
      <c r="S17" s="124"/>
    </row>
    <row r="18" spans="1:20" s="125" customFormat="1" ht="57.6" x14ac:dyDescent="0.3">
      <c r="A18" s="129" t="s">
        <v>2477</v>
      </c>
      <c r="B18" s="142" t="s">
        <v>539</v>
      </c>
      <c r="C18" s="129" t="s">
        <v>1314</v>
      </c>
      <c r="D18" s="129" t="s">
        <v>2478</v>
      </c>
      <c r="E18" s="129" t="s">
        <v>2479</v>
      </c>
      <c r="F18" s="129" t="s">
        <v>2480</v>
      </c>
      <c r="G18" s="129" t="s">
        <v>2481</v>
      </c>
      <c r="H18" s="129" t="s">
        <v>2482</v>
      </c>
      <c r="I18" s="129" t="s">
        <v>2483</v>
      </c>
      <c r="J18" s="137">
        <v>45970</v>
      </c>
      <c r="K18" s="137"/>
      <c r="L18" s="141">
        <v>6</v>
      </c>
      <c r="M18" s="124"/>
      <c r="N18" s="124"/>
      <c r="O18" s="124"/>
      <c r="P18" s="124"/>
      <c r="Q18" s="124"/>
      <c r="R18" s="124"/>
      <c r="S18" s="124"/>
    </row>
    <row r="19" spans="1:20" s="125" customFormat="1" ht="43.2" x14ac:dyDescent="0.3">
      <c r="A19" s="129" t="s">
        <v>2484</v>
      </c>
      <c r="B19" s="142" t="s">
        <v>539</v>
      </c>
      <c r="C19" s="129" t="s">
        <v>2400</v>
      </c>
      <c r="D19" s="129" t="s">
        <v>2485</v>
      </c>
      <c r="E19" s="129" t="s">
        <v>2486</v>
      </c>
      <c r="F19" s="129" t="s">
        <v>2487</v>
      </c>
      <c r="G19" s="129" t="s">
        <v>2488</v>
      </c>
      <c r="H19" s="129" t="s">
        <v>2489</v>
      </c>
      <c r="I19" s="129" t="s">
        <v>2490</v>
      </c>
      <c r="J19" s="137">
        <v>45970</v>
      </c>
      <c r="K19" s="137"/>
      <c r="L19" s="141">
        <v>6</v>
      </c>
      <c r="M19" s="124"/>
      <c r="N19" s="124"/>
      <c r="O19" s="124"/>
      <c r="P19" s="124"/>
      <c r="Q19" s="124"/>
      <c r="R19" s="124"/>
      <c r="S19" s="124"/>
    </row>
    <row r="20" spans="1:20" s="125" customFormat="1" ht="57.6" x14ac:dyDescent="0.3">
      <c r="A20" s="129" t="s">
        <v>2491</v>
      </c>
      <c r="B20" s="142" t="s">
        <v>539</v>
      </c>
      <c r="C20" s="129" t="s">
        <v>1618</v>
      </c>
      <c r="D20" s="129" t="s">
        <v>2492</v>
      </c>
      <c r="E20" s="129" t="s">
        <v>2409</v>
      </c>
      <c r="F20" s="129" t="s">
        <v>2493</v>
      </c>
      <c r="G20" s="129" t="s">
        <v>2494</v>
      </c>
      <c r="H20" s="129" t="s">
        <v>2495</v>
      </c>
      <c r="I20" s="129" t="s">
        <v>2496</v>
      </c>
      <c r="J20" s="137">
        <v>45970</v>
      </c>
      <c r="K20" s="137"/>
      <c r="L20" s="141">
        <v>6</v>
      </c>
      <c r="M20" s="124"/>
      <c r="N20" s="124"/>
      <c r="O20" s="124"/>
      <c r="P20" s="124"/>
      <c r="Q20" s="124"/>
      <c r="R20" s="124"/>
      <c r="S20" s="124"/>
    </row>
    <row r="21" spans="1:20" s="125" customFormat="1" ht="57.6" x14ac:dyDescent="0.3">
      <c r="A21" s="129" t="s">
        <v>2497</v>
      </c>
      <c r="B21" s="142" t="s">
        <v>539</v>
      </c>
      <c r="C21" s="129" t="s">
        <v>1214</v>
      </c>
      <c r="D21" s="129" t="s">
        <v>2498</v>
      </c>
      <c r="E21" s="129" t="s">
        <v>2499</v>
      </c>
      <c r="F21" s="129" t="s">
        <v>2500</v>
      </c>
      <c r="G21" s="129" t="s">
        <v>2501</v>
      </c>
      <c r="H21" s="129" t="s">
        <v>2502</v>
      </c>
      <c r="I21" s="129" t="s">
        <v>2503</v>
      </c>
      <c r="J21" s="137">
        <v>45970</v>
      </c>
      <c r="K21" s="137"/>
      <c r="L21" s="141">
        <v>6</v>
      </c>
      <c r="M21" s="124"/>
      <c r="N21" s="124"/>
      <c r="O21" s="124"/>
      <c r="P21" s="124"/>
      <c r="Q21" s="124"/>
      <c r="R21" s="124"/>
      <c r="S21" s="124"/>
    </row>
    <row r="22" spans="1:20" s="125" customFormat="1" ht="57.6" x14ac:dyDescent="0.3">
      <c r="A22" s="129" t="s">
        <v>2504</v>
      </c>
      <c r="B22" s="142" t="s">
        <v>539</v>
      </c>
      <c r="C22" s="129" t="s">
        <v>2400</v>
      </c>
      <c r="D22" s="129" t="s">
        <v>2505</v>
      </c>
      <c r="E22" s="129" t="s">
        <v>2506</v>
      </c>
      <c r="F22" s="129" t="s">
        <v>2507</v>
      </c>
      <c r="G22" s="129" t="s">
        <v>2508</v>
      </c>
      <c r="H22" s="129" t="s">
        <v>2509</v>
      </c>
      <c r="I22" s="129" t="s">
        <v>2510</v>
      </c>
      <c r="J22" s="137">
        <v>45970</v>
      </c>
      <c r="K22" s="137"/>
      <c r="L22" s="141">
        <v>6</v>
      </c>
      <c r="M22" s="124"/>
      <c r="N22" s="124"/>
      <c r="O22" s="124"/>
      <c r="P22" s="124"/>
      <c r="Q22" s="124"/>
      <c r="R22" s="124"/>
      <c r="S22" s="124"/>
    </row>
    <row r="23" spans="1:20" s="125" customFormat="1" ht="43.2" x14ac:dyDescent="0.3">
      <c r="A23" s="129" t="s">
        <v>2511</v>
      </c>
      <c r="B23" s="142" t="s">
        <v>539</v>
      </c>
      <c r="C23" s="129" t="s">
        <v>2400</v>
      </c>
      <c r="D23" s="129" t="s">
        <v>2512</v>
      </c>
      <c r="E23" s="129" t="s">
        <v>2513</v>
      </c>
      <c r="F23" s="129" t="s">
        <v>2514</v>
      </c>
      <c r="G23" s="129" t="s">
        <v>2515</v>
      </c>
      <c r="H23" s="129" t="s">
        <v>2516</v>
      </c>
      <c r="I23" s="129" t="s">
        <v>2517</v>
      </c>
      <c r="J23" s="137">
        <v>45970</v>
      </c>
      <c r="K23" s="137"/>
      <c r="L23" s="141">
        <v>6</v>
      </c>
      <c r="M23" s="124"/>
      <c r="N23" s="124"/>
      <c r="O23" s="124"/>
      <c r="P23" s="124"/>
      <c r="Q23" s="124"/>
      <c r="R23" s="124"/>
      <c r="S23" s="124"/>
    </row>
    <row r="24" spans="1:20" s="125" customFormat="1" ht="93.75" customHeight="1" x14ac:dyDescent="0.3">
      <c r="A24" s="129" t="s">
        <v>2518</v>
      </c>
      <c r="B24" s="142" t="s">
        <v>539</v>
      </c>
      <c r="C24" s="129" t="s">
        <v>1476</v>
      </c>
      <c r="D24" s="129" t="s">
        <v>2519</v>
      </c>
      <c r="E24" s="129" t="s">
        <v>2520</v>
      </c>
      <c r="F24" s="129" t="s">
        <v>2521</v>
      </c>
      <c r="G24" s="129" t="s">
        <v>2522</v>
      </c>
      <c r="H24" s="129" t="s">
        <v>2523</v>
      </c>
      <c r="I24" s="129" t="s">
        <v>2524</v>
      </c>
      <c r="J24" s="137">
        <v>45970</v>
      </c>
      <c r="K24" s="137"/>
      <c r="L24" s="141">
        <v>6</v>
      </c>
      <c r="M24" s="123"/>
      <c r="N24" s="123"/>
      <c r="O24" s="123"/>
      <c r="P24" s="123"/>
      <c r="Q24" s="123"/>
      <c r="R24" s="123"/>
      <c r="S24" s="123"/>
    </row>
    <row r="25" spans="1:20" s="125" customFormat="1" ht="129" customHeight="1" x14ac:dyDescent="0.3">
      <c r="A25" s="129" t="s">
        <v>2525</v>
      </c>
      <c r="B25" s="142" t="s">
        <v>539</v>
      </c>
      <c r="C25" s="129" t="s">
        <v>1214</v>
      </c>
      <c r="D25" s="129" t="s">
        <v>2526</v>
      </c>
      <c r="E25" s="129" t="s">
        <v>2527</v>
      </c>
      <c r="F25" s="129" t="s">
        <v>2528</v>
      </c>
      <c r="G25" s="129" t="s">
        <v>2529</v>
      </c>
      <c r="H25" s="129" t="s">
        <v>2530</v>
      </c>
      <c r="I25" s="129" t="s">
        <v>2531</v>
      </c>
      <c r="J25" s="137">
        <v>45970</v>
      </c>
      <c r="K25" s="137"/>
      <c r="L25" s="141">
        <v>6</v>
      </c>
      <c r="M25" s="123"/>
      <c r="N25" s="123"/>
      <c r="O25" s="123"/>
      <c r="P25" s="123"/>
      <c r="Q25" s="123"/>
      <c r="R25" s="123"/>
      <c r="S25" s="123"/>
    </row>
    <row r="26" spans="1:20" s="125" customFormat="1" ht="152.25" customHeight="1" x14ac:dyDescent="0.3">
      <c r="A26" s="129" t="s">
        <v>2532</v>
      </c>
      <c r="B26" s="142" t="s">
        <v>539</v>
      </c>
      <c r="C26" s="129" t="s">
        <v>2400</v>
      </c>
      <c r="D26" s="129" t="s">
        <v>2533</v>
      </c>
      <c r="E26" s="129" t="s">
        <v>2534</v>
      </c>
      <c r="F26" s="129" t="s">
        <v>2535</v>
      </c>
      <c r="G26" s="129" t="s">
        <v>2536</v>
      </c>
      <c r="H26" s="129" t="s">
        <v>2537</v>
      </c>
      <c r="I26" s="129" t="s">
        <v>2538</v>
      </c>
      <c r="J26" s="137">
        <v>45970</v>
      </c>
      <c r="K26" s="137"/>
      <c r="L26" s="141">
        <v>6</v>
      </c>
      <c r="M26" s="123"/>
      <c r="N26" s="123"/>
      <c r="O26" s="123"/>
      <c r="P26" s="123"/>
      <c r="Q26" s="123"/>
      <c r="R26" s="123"/>
      <c r="S26" s="123"/>
    </row>
    <row r="27" spans="1:20" s="125" customFormat="1" ht="57.6" x14ac:dyDescent="0.3">
      <c r="A27" s="129" t="s">
        <v>2539</v>
      </c>
      <c r="B27" s="142" t="s">
        <v>539</v>
      </c>
      <c r="C27" s="129" t="s">
        <v>1372</v>
      </c>
      <c r="D27" s="129" t="s">
        <v>2540</v>
      </c>
      <c r="E27" s="129" t="s">
        <v>2541</v>
      </c>
      <c r="F27" s="129" t="s">
        <v>2542</v>
      </c>
      <c r="G27" s="129" t="s">
        <v>2543</v>
      </c>
      <c r="H27" s="129" t="s">
        <v>2544</v>
      </c>
      <c r="I27" s="129" t="s">
        <v>2545</v>
      </c>
      <c r="J27" s="137">
        <v>45970</v>
      </c>
      <c r="K27" s="137"/>
      <c r="L27" s="141">
        <v>6</v>
      </c>
      <c r="M27" s="123"/>
      <c r="N27" s="123"/>
      <c r="O27" s="123"/>
      <c r="P27" s="123"/>
      <c r="Q27" s="123"/>
      <c r="R27" s="123"/>
      <c r="S27" s="123"/>
    </row>
    <row r="28" spans="1:20" s="80" customFormat="1" ht="103.5" customHeight="1" x14ac:dyDescent="0.3">
      <c r="A28" s="124" t="s">
        <v>2546</v>
      </c>
      <c r="B28" s="130" t="s">
        <v>167</v>
      </c>
      <c r="C28" s="129" t="s">
        <v>1372</v>
      </c>
      <c r="D28" s="129" t="s">
        <v>2547</v>
      </c>
      <c r="E28" s="129" t="s">
        <v>2548</v>
      </c>
      <c r="F28" s="129" t="s">
        <v>2549</v>
      </c>
      <c r="G28" s="129" t="s">
        <v>2550</v>
      </c>
      <c r="H28" s="129" t="s">
        <v>2551</v>
      </c>
      <c r="I28" s="129" t="s">
        <v>2552</v>
      </c>
      <c r="J28" s="79">
        <v>45971</v>
      </c>
      <c r="K28" s="79"/>
      <c r="L28" s="141">
        <v>3</v>
      </c>
      <c r="T28" s="143"/>
    </row>
    <row r="29" spans="1:20" s="80" customFormat="1" ht="84" customHeight="1" x14ac:dyDescent="0.3">
      <c r="A29" s="124" t="s">
        <v>2553</v>
      </c>
      <c r="B29" s="130" t="s">
        <v>167</v>
      </c>
      <c r="C29" s="129" t="s">
        <v>1314</v>
      </c>
      <c r="D29" s="129" t="s">
        <v>2554</v>
      </c>
      <c r="E29" s="129" t="s">
        <v>2555</v>
      </c>
      <c r="F29" s="129" t="s">
        <v>2556</v>
      </c>
      <c r="G29" s="129" t="s">
        <v>2557</v>
      </c>
      <c r="H29" s="129" t="s">
        <v>2558</v>
      </c>
      <c r="I29" s="129" t="s">
        <v>2559</v>
      </c>
      <c r="J29" s="79">
        <v>45971</v>
      </c>
      <c r="K29" s="79"/>
      <c r="L29" s="141">
        <v>3</v>
      </c>
      <c r="T29" s="143"/>
    </row>
    <row r="30" spans="1:20" ht="93.75" customHeight="1" x14ac:dyDescent="0.3">
      <c r="A30" s="124" t="s">
        <v>2560</v>
      </c>
      <c r="B30" s="130" t="s">
        <v>167</v>
      </c>
      <c r="C30" s="129" t="s">
        <v>1222</v>
      </c>
      <c r="D30" s="129" t="s">
        <v>2561</v>
      </c>
      <c r="E30" s="129" t="s">
        <v>2562</v>
      </c>
      <c r="F30" s="129" t="s">
        <v>2563</v>
      </c>
      <c r="G30" s="129" t="s">
        <v>2564</v>
      </c>
      <c r="H30" s="129" t="s">
        <v>2565</v>
      </c>
      <c r="I30" s="129" t="s">
        <v>2566</v>
      </c>
      <c r="J30" s="79">
        <v>45971</v>
      </c>
      <c r="K30" s="79"/>
      <c r="L30" s="141">
        <v>3</v>
      </c>
      <c r="M30" s="80"/>
      <c r="N30" s="80"/>
      <c r="O30" s="80"/>
      <c r="P30" s="80"/>
      <c r="Q30" s="80"/>
      <c r="R30" s="80"/>
      <c r="S30" s="80"/>
    </row>
    <row r="31" spans="1:20" ht="192" customHeight="1" x14ac:dyDescent="0.3">
      <c r="A31" s="124" t="s">
        <v>2567</v>
      </c>
      <c r="B31" s="131" t="s">
        <v>219</v>
      </c>
      <c r="C31" s="129" t="s">
        <v>1491</v>
      </c>
      <c r="D31" s="129" t="s">
        <v>2568</v>
      </c>
      <c r="E31" s="129" t="s">
        <v>2569</v>
      </c>
      <c r="F31" s="129" t="s">
        <v>2570</v>
      </c>
      <c r="G31" s="129" t="s">
        <v>2571</v>
      </c>
      <c r="H31" s="129" t="s">
        <v>2572</v>
      </c>
      <c r="I31" s="129" t="s">
        <v>2573</v>
      </c>
      <c r="J31" s="79">
        <v>45971</v>
      </c>
      <c r="K31" s="79"/>
      <c r="L31" s="141">
        <v>4</v>
      </c>
      <c r="M31" s="80"/>
      <c r="N31" s="80"/>
      <c r="O31" s="80"/>
      <c r="P31" s="80"/>
      <c r="Q31" s="80"/>
      <c r="R31" s="80"/>
      <c r="S31" s="80"/>
    </row>
    <row r="32" spans="1:20" ht="86.4" x14ac:dyDescent="0.3">
      <c r="A32" s="124" t="s">
        <v>2574</v>
      </c>
      <c r="B32" s="131" t="s">
        <v>219</v>
      </c>
      <c r="C32" s="129" t="s">
        <v>1491</v>
      </c>
      <c r="D32" s="129" t="s">
        <v>2575</v>
      </c>
      <c r="E32" s="129" t="s">
        <v>2576</v>
      </c>
      <c r="F32" s="129" t="s">
        <v>2577</v>
      </c>
      <c r="G32" s="129" t="s">
        <v>2578</v>
      </c>
      <c r="H32" s="129" t="s">
        <v>2579</v>
      </c>
      <c r="I32" s="129" t="s">
        <v>2580</v>
      </c>
      <c r="J32" s="79">
        <v>45971</v>
      </c>
      <c r="K32" s="79"/>
      <c r="L32" s="141">
        <v>4</v>
      </c>
      <c r="M32" s="80"/>
      <c r="N32" s="80"/>
      <c r="O32" s="80"/>
      <c r="P32" s="80"/>
      <c r="Q32" s="80"/>
      <c r="R32" s="80"/>
      <c r="S32" s="80"/>
    </row>
    <row r="33" spans="1:19" ht="109.5" customHeight="1" x14ac:dyDescent="0.3">
      <c r="A33" s="124" t="s">
        <v>2581</v>
      </c>
      <c r="B33" s="131" t="s">
        <v>219</v>
      </c>
      <c r="C33" s="129" t="s">
        <v>2582</v>
      </c>
      <c r="D33" s="129" t="s">
        <v>2583</v>
      </c>
      <c r="E33" s="129" t="s">
        <v>2584</v>
      </c>
      <c r="F33" s="129" t="s">
        <v>2585</v>
      </c>
      <c r="G33" s="129" t="s">
        <v>2586</v>
      </c>
      <c r="H33" s="129" t="s">
        <v>2587</v>
      </c>
      <c r="I33" s="129" t="s">
        <v>2588</v>
      </c>
      <c r="J33" s="79">
        <v>45971</v>
      </c>
      <c r="K33" s="79"/>
      <c r="L33" s="141">
        <v>4</v>
      </c>
      <c r="M33" s="80"/>
      <c r="N33" s="80"/>
      <c r="O33" s="80"/>
      <c r="P33" s="80"/>
      <c r="Q33" s="80"/>
      <c r="R33" s="80"/>
      <c r="S33" s="80"/>
    </row>
    <row r="34" spans="1:19" ht="138" customHeight="1" x14ac:dyDescent="0.3">
      <c r="A34" s="124" t="s">
        <v>2589</v>
      </c>
      <c r="B34" s="131" t="s">
        <v>219</v>
      </c>
      <c r="C34" s="129" t="s">
        <v>1583</v>
      </c>
      <c r="D34" s="129" t="s">
        <v>2590</v>
      </c>
      <c r="E34" s="129" t="s">
        <v>2591</v>
      </c>
      <c r="F34" s="129" t="s">
        <v>2592</v>
      </c>
      <c r="G34" s="129" t="s">
        <v>2593</v>
      </c>
      <c r="H34" s="129" t="s">
        <v>2594</v>
      </c>
      <c r="I34" s="129" t="s">
        <v>2595</v>
      </c>
      <c r="J34" s="79">
        <v>45971</v>
      </c>
      <c r="K34" s="79"/>
      <c r="L34" s="141">
        <v>4</v>
      </c>
      <c r="M34" s="80"/>
      <c r="N34" s="80"/>
      <c r="O34" s="80"/>
      <c r="P34" s="80"/>
      <c r="Q34" s="80"/>
      <c r="R34" s="80"/>
      <c r="S34" s="80"/>
    </row>
    <row r="35" spans="1:19" ht="139.5" customHeight="1" x14ac:dyDescent="0.3">
      <c r="A35" s="124" t="s">
        <v>2596</v>
      </c>
      <c r="B35" s="131" t="s">
        <v>219</v>
      </c>
      <c r="C35" s="129" t="s">
        <v>1372</v>
      </c>
      <c r="D35" s="129" t="s">
        <v>2597</v>
      </c>
      <c r="E35" s="129" t="s">
        <v>2598</v>
      </c>
      <c r="F35" s="129" t="s">
        <v>2599</v>
      </c>
      <c r="G35" s="129" t="s">
        <v>2600</v>
      </c>
      <c r="H35" s="129" t="s">
        <v>2601</v>
      </c>
      <c r="I35" s="129" t="s">
        <v>2602</v>
      </c>
      <c r="J35" s="79">
        <v>45971</v>
      </c>
      <c r="K35" s="79"/>
      <c r="L35" s="141">
        <v>4</v>
      </c>
      <c r="M35" s="80"/>
      <c r="N35" s="80"/>
      <c r="O35" s="80"/>
      <c r="P35" s="80"/>
      <c r="Q35" s="80"/>
      <c r="R35" s="80"/>
      <c r="S35" s="80"/>
    </row>
    <row r="36" spans="1:19" ht="57.6" x14ac:dyDescent="0.3">
      <c r="A36" s="124" t="s">
        <v>2603</v>
      </c>
      <c r="B36" s="131" t="s">
        <v>219</v>
      </c>
      <c r="C36" s="129" t="s">
        <v>1491</v>
      </c>
      <c r="D36" s="129" t="s">
        <v>2604</v>
      </c>
      <c r="E36" s="129" t="s">
        <v>2569</v>
      </c>
      <c r="F36" s="129" t="s">
        <v>2605</v>
      </c>
      <c r="G36" s="129" t="s">
        <v>2606</v>
      </c>
      <c r="H36" s="129" t="s">
        <v>2607</v>
      </c>
      <c r="I36" s="129" t="s">
        <v>2608</v>
      </c>
      <c r="J36" s="79">
        <v>45971</v>
      </c>
      <c r="K36" s="79"/>
      <c r="L36" s="141">
        <v>4</v>
      </c>
      <c r="M36" s="80"/>
      <c r="N36" s="80"/>
      <c r="O36" s="80"/>
      <c r="P36" s="80"/>
      <c r="Q36" s="80"/>
      <c r="R36" s="80"/>
      <c r="S36" s="80"/>
    </row>
    <row r="37" spans="1:19" ht="57.6" x14ac:dyDescent="0.3">
      <c r="A37" s="124" t="s">
        <v>2609</v>
      </c>
      <c r="B37" s="131" t="s">
        <v>219</v>
      </c>
      <c r="C37" s="129" t="s">
        <v>1491</v>
      </c>
      <c r="D37" s="129" t="s">
        <v>2610</v>
      </c>
      <c r="E37" s="129" t="s">
        <v>2611</v>
      </c>
      <c r="F37" s="129" t="s">
        <v>2612</v>
      </c>
      <c r="G37" s="129" t="s">
        <v>2613</v>
      </c>
      <c r="H37" s="129" t="s">
        <v>2614</v>
      </c>
      <c r="I37" s="129" t="s">
        <v>2615</v>
      </c>
      <c r="J37" s="79">
        <v>45971</v>
      </c>
      <c r="K37" s="79"/>
      <c r="L37" s="141">
        <v>4</v>
      </c>
      <c r="M37" s="80"/>
      <c r="N37" s="80"/>
      <c r="O37" s="80"/>
      <c r="P37" s="80"/>
      <c r="Q37" s="80"/>
      <c r="R37" s="80"/>
      <c r="S37" s="80"/>
    </row>
    <row r="38" spans="1:19" ht="43.2" x14ac:dyDescent="0.3">
      <c r="A38" s="124" t="s">
        <v>2616</v>
      </c>
      <c r="B38" s="131" t="s">
        <v>219</v>
      </c>
      <c r="C38" s="129" t="s">
        <v>2582</v>
      </c>
      <c r="D38" s="129" t="s">
        <v>2617</v>
      </c>
      <c r="E38" s="129" t="s">
        <v>2618</v>
      </c>
      <c r="F38" s="129" t="s">
        <v>2619</v>
      </c>
      <c r="G38" s="129" t="s">
        <v>2620</v>
      </c>
      <c r="H38" s="129" t="s">
        <v>2621</v>
      </c>
      <c r="I38" s="129" t="s">
        <v>2622</v>
      </c>
      <c r="J38" s="79">
        <v>45971</v>
      </c>
      <c r="K38" s="79"/>
      <c r="L38" s="141">
        <v>4</v>
      </c>
      <c r="M38" s="80"/>
      <c r="N38" s="80"/>
      <c r="O38" s="80"/>
      <c r="P38" s="80"/>
      <c r="Q38" s="80"/>
      <c r="R38" s="80"/>
      <c r="S38" s="80"/>
    </row>
    <row r="39" spans="1:19" ht="43.2" x14ac:dyDescent="0.3">
      <c r="A39" s="124" t="s">
        <v>2623</v>
      </c>
      <c r="B39" s="131" t="s">
        <v>219</v>
      </c>
      <c r="C39" s="129" t="s">
        <v>1314</v>
      </c>
      <c r="D39" s="129" t="s">
        <v>2624</v>
      </c>
      <c r="E39" s="129" t="s">
        <v>2625</v>
      </c>
      <c r="F39" s="129" t="s">
        <v>2626</v>
      </c>
      <c r="G39" s="129" t="s">
        <v>2627</v>
      </c>
      <c r="H39" s="129" t="s">
        <v>2628</v>
      </c>
      <c r="I39" s="129" t="s">
        <v>2629</v>
      </c>
      <c r="J39" s="79">
        <v>45971</v>
      </c>
      <c r="K39" s="79"/>
      <c r="L39" s="141">
        <v>4</v>
      </c>
      <c r="M39" s="80"/>
      <c r="N39" s="80"/>
      <c r="O39" s="80"/>
      <c r="P39" s="80"/>
      <c r="Q39" s="80"/>
      <c r="R39" s="80"/>
      <c r="S39" s="80"/>
    </row>
    <row r="40" spans="1:19" ht="57.6" x14ac:dyDescent="0.3">
      <c r="A40" s="124" t="s">
        <v>2630</v>
      </c>
      <c r="B40" s="131" t="s">
        <v>219</v>
      </c>
      <c r="C40" s="129" t="s">
        <v>1372</v>
      </c>
      <c r="D40" s="129" t="s">
        <v>2631</v>
      </c>
      <c r="E40" s="129" t="s">
        <v>2632</v>
      </c>
      <c r="F40" s="129" t="s">
        <v>2633</v>
      </c>
      <c r="G40" s="129" t="s">
        <v>2634</v>
      </c>
      <c r="H40" s="129" t="s">
        <v>2635</v>
      </c>
      <c r="I40" s="129" t="s">
        <v>2636</v>
      </c>
      <c r="J40" s="79">
        <v>45971</v>
      </c>
      <c r="K40" s="79"/>
      <c r="L40" s="141">
        <v>4</v>
      </c>
      <c r="M40" s="80"/>
      <c r="N40" s="80"/>
      <c r="O40" s="80"/>
      <c r="P40" s="80"/>
      <c r="Q40" s="80"/>
      <c r="R40" s="80"/>
      <c r="S40" s="80"/>
    </row>
    <row r="41" spans="1:19" ht="72" x14ac:dyDescent="0.3">
      <c r="A41" s="124" t="s">
        <v>2637</v>
      </c>
      <c r="B41" s="132" t="s">
        <v>305</v>
      </c>
      <c r="C41" s="129" t="s">
        <v>1372</v>
      </c>
      <c r="D41" s="129" t="s">
        <v>2638</v>
      </c>
      <c r="E41" s="129" t="s">
        <v>2639</v>
      </c>
      <c r="F41" s="129" t="s">
        <v>2640</v>
      </c>
      <c r="G41" s="129" t="s">
        <v>2641</v>
      </c>
      <c r="H41" s="129" t="s">
        <v>2642</v>
      </c>
      <c r="I41" s="129" t="s">
        <v>2643</v>
      </c>
      <c r="J41" s="79">
        <v>45971</v>
      </c>
      <c r="K41" s="79"/>
      <c r="L41" s="141">
        <v>6</v>
      </c>
      <c r="M41" s="80"/>
      <c r="N41" s="80"/>
      <c r="O41" s="80"/>
      <c r="P41" s="80"/>
      <c r="Q41" s="80"/>
      <c r="R41" s="80"/>
      <c r="S41" s="80"/>
    </row>
    <row r="42" spans="1:19" ht="137.25" customHeight="1" x14ac:dyDescent="0.3">
      <c r="A42" s="124" t="s">
        <v>2644</v>
      </c>
      <c r="B42" s="132" t="s">
        <v>305</v>
      </c>
      <c r="C42" s="129" t="s">
        <v>1618</v>
      </c>
      <c r="D42" s="129" t="s">
        <v>2645</v>
      </c>
      <c r="E42" s="129" t="s">
        <v>2646</v>
      </c>
      <c r="F42" s="129" t="s">
        <v>2647</v>
      </c>
      <c r="G42" s="129" t="s">
        <v>2648</v>
      </c>
      <c r="H42" s="129" t="s">
        <v>2649</v>
      </c>
      <c r="I42" s="129" t="s">
        <v>2650</v>
      </c>
      <c r="J42" s="79">
        <v>45971</v>
      </c>
      <c r="K42" s="79"/>
      <c r="L42" s="141">
        <v>6</v>
      </c>
      <c r="M42" s="80"/>
      <c r="N42" s="80"/>
      <c r="O42" s="80"/>
      <c r="P42" s="80"/>
      <c r="Q42" s="80"/>
      <c r="R42" s="80"/>
      <c r="S42" s="80"/>
    </row>
    <row r="43" spans="1:19" ht="132" customHeight="1" x14ac:dyDescent="0.3">
      <c r="A43" s="124" t="s">
        <v>2651</v>
      </c>
      <c r="B43" s="132" t="s">
        <v>305</v>
      </c>
      <c r="C43" s="129" t="s">
        <v>2652</v>
      </c>
      <c r="D43" s="129" t="s">
        <v>2653</v>
      </c>
      <c r="E43" s="129" t="s">
        <v>2654</v>
      </c>
      <c r="F43" s="129" t="s">
        <v>2655</v>
      </c>
      <c r="G43" s="129" t="s">
        <v>2656</v>
      </c>
      <c r="H43" s="129" t="s">
        <v>2657</v>
      </c>
      <c r="I43" s="129" t="s">
        <v>2658</v>
      </c>
      <c r="J43" s="79">
        <v>45971</v>
      </c>
      <c r="K43" s="79"/>
      <c r="L43" s="141">
        <v>6</v>
      </c>
      <c r="M43" s="80"/>
      <c r="N43" s="80"/>
      <c r="O43" s="80"/>
      <c r="P43" s="80"/>
      <c r="Q43" s="80"/>
      <c r="R43" s="80"/>
      <c r="S43" s="80"/>
    </row>
    <row r="44" spans="1:19" ht="139.5" customHeight="1" x14ac:dyDescent="0.3">
      <c r="A44" s="124" t="s">
        <v>2659</v>
      </c>
      <c r="B44" s="132" t="s">
        <v>305</v>
      </c>
      <c r="C44" s="129" t="s">
        <v>1222</v>
      </c>
      <c r="D44" s="129" t="s">
        <v>2660</v>
      </c>
      <c r="E44" s="129" t="s">
        <v>2661</v>
      </c>
      <c r="F44" s="129" t="s">
        <v>2662</v>
      </c>
      <c r="G44" s="129" t="s">
        <v>2663</v>
      </c>
      <c r="H44" s="129" t="s">
        <v>2664</v>
      </c>
      <c r="I44" s="129" t="s">
        <v>2665</v>
      </c>
      <c r="J44" s="79">
        <v>45971</v>
      </c>
      <c r="K44" s="79"/>
      <c r="L44" s="141">
        <v>6</v>
      </c>
      <c r="M44" s="80"/>
      <c r="N44" s="80"/>
      <c r="O44" s="80"/>
      <c r="P44" s="80"/>
      <c r="Q44" s="80"/>
      <c r="R44" s="80"/>
      <c r="S44" s="80"/>
    </row>
    <row r="45" spans="1:19" ht="114.75" customHeight="1" x14ac:dyDescent="0.3">
      <c r="A45" s="124" t="s">
        <v>2666</v>
      </c>
      <c r="B45" s="132" t="s">
        <v>305</v>
      </c>
      <c r="C45" s="129" t="s">
        <v>1476</v>
      </c>
      <c r="D45" s="129" t="s">
        <v>2667</v>
      </c>
      <c r="E45" s="129" t="s">
        <v>2668</v>
      </c>
      <c r="F45" s="129" t="s">
        <v>2669</v>
      </c>
      <c r="G45" s="129" t="s">
        <v>2670</v>
      </c>
      <c r="H45" s="129" t="s">
        <v>2671</v>
      </c>
      <c r="I45" s="129" t="s">
        <v>2672</v>
      </c>
      <c r="J45" s="79">
        <v>45971</v>
      </c>
      <c r="K45" s="79"/>
      <c r="L45" s="141">
        <v>6</v>
      </c>
      <c r="M45" s="80"/>
      <c r="N45" s="80"/>
      <c r="O45" s="80"/>
      <c r="P45" s="80"/>
      <c r="Q45" s="80"/>
      <c r="R45" s="80"/>
      <c r="S45" s="80"/>
    </row>
    <row r="46" spans="1:19" ht="183.75" customHeight="1" x14ac:dyDescent="0.3">
      <c r="A46" s="124" t="s">
        <v>2673</v>
      </c>
      <c r="B46" s="132" t="s">
        <v>305</v>
      </c>
      <c r="C46" s="129" t="s">
        <v>1222</v>
      </c>
      <c r="D46" s="129" t="s">
        <v>2674</v>
      </c>
      <c r="E46" s="129" t="s">
        <v>2675</v>
      </c>
      <c r="F46" s="129" t="s">
        <v>2676</v>
      </c>
      <c r="G46" s="129" t="s">
        <v>2677</v>
      </c>
      <c r="H46" s="129" t="s">
        <v>2678</v>
      </c>
      <c r="I46" s="129" t="s">
        <v>2679</v>
      </c>
      <c r="J46" s="79">
        <v>45971</v>
      </c>
      <c r="K46" s="79"/>
      <c r="L46" s="141">
        <v>6</v>
      </c>
      <c r="M46" s="80"/>
      <c r="N46" s="80"/>
      <c r="O46" s="80"/>
      <c r="P46" s="80"/>
      <c r="Q46" s="80"/>
      <c r="R46" s="80"/>
      <c r="S46" s="80"/>
    </row>
    <row r="47" spans="1:19" ht="43.2" x14ac:dyDescent="0.3">
      <c r="A47" s="124" t="s">
        <v>2680</v>
      </c>
      <c r="B47" s="132" t="s">
        <v>305</v>
      </c>
      <c r="C47" s="129" t="s">
        <v>2400</v>
      </c>
      <c r="D47" s="129" t="s">
        <v>2681</v>
      </c>
      <c r="E47" s="129" t="s">
        <v>2682</v>
      </c>
      <c r="F47" s="129" t="s">
        <v>2683</v>
      </c>
      <c r="G47" s="129" t="s">
        <v>2684</v>
      </c>
      <c r="H47" s="129" t="s">
        <v>2685</v>
      </c>
      <c r="I47" s="129" t="s">
        <v>2686</v>
      </c>
      <c r="J47" s="79">
        <v>45971</v>
      </c>
      <c r="K47" s="79"/>
      <c r="L47" s="141">
        <v>6</v>
      </c>
      <c r="M47" s="80"/>
      <c r="N47" s="80"/>
      <c r="O47" s="80"/>
      <c r="P47" s="80"/>
      <c r="Q47" s="80"/>
      <c r="R47" s="80"/>
      <c r="S47" s="80"/>
    </row>
    <row r="48" spans="1:19" ht="43.2" x14ac:dyDescent="0.3">
      <c r="A48" s="124" t="s">
        <v>2687</v>
      </c>
      <c r="B48" s="132" t="s">
        <v>305</v>
      </c>
      <c r="C48" s="129" t="s">
        <v>1618</v>
      </c>
      <c r="D48" s="129" t="s">
        <v>2688</v>
      </c>
      <c r="E48" s="129" t="s">
        <v>2682</v>
      </c>
      <c r="F48" s="129" t="s">
        <v>2689</v>
      </c>
      <c r="G48" s="129" t="s">
        <v>2690</v>
      </c>
      <c r="H48" s="129" t="s">
        <v>2691</v>
      </c>
      <c r="I48" s="129" t="s">
        <v>2692</v>
      </c>
      <c r="J48" s="79">
        <v>45971</v>
      </c>
      <c r="K48" s="79"/>
      <c r="L48" s="141">
        <v>6</v>
      </c>
      <c r="M48" s="80"/>
      <c r="N48" s="80"/>
      <c r="O48" s="80"/>
      <c r="P48" s="80"/>
      <c r="Q48" s="80"/>
      <c r="R48" s="80"/>
      <c r="S48" s="80"/>
    </row>
    <row r="49" spans="1:19" ht="43.2" x14ac:dyDescent="0.3">
      <c r="A49" s="124" t="s">
        <v>2693</v>
      </c>
      <c r="B49" s="132" t="s">
        <v>305</v>
      </c>
      <c r="C49" s="129" t="s">
        <v>2400</v>
      </c>
      <c r="D49" s="129" t="s">
        <v>2694</v>
      </c>
      <c r="E49" s="129" t="s">
        <v>2695</v>
      </c>
      <c r="F49" s="129" t="s">
        <v>2696</v>
      </c>
      <c r="G49" s="129" t="s">
        <v>2697</v>
      </c>
      <c r="H49" s="129" t="s">
        <v>2698</v>
      </c>
      <c r="I49" s="129" t="s">
        <v>2699</v>
      </c>
      <c r="J49" s="79">
        <v>45971</v>
      </c>
      <c r="K49" s="79"/>
      <c r="L49" s="141">
        <v>6</v>
      </c>
      <c r="M49" s="80"/>
      <c r="N49" s="80"/>
      <c r="O49" s="80"/>
      <c r="P49" s="80"/>
      <c r="Q49" s="80"/>
      <c r="R49" s="80"/>
      <c r="S49" s="80"/>
    </row>
    <row r="50" spans="1:19" ht="43.2" x14ac:dyDescent="0.3">
      <c r="A50" s="124" t="s">
        <v>2700</v>
      </c>
      <c r="B50" s="132" t="s">
        <v>305</v>
      </c>
      <c r="C50" s="129" t="s">
        <v>1491</v>
      </c>
      <c r="D50" s="129" t="s">
        <v>2701</v>
      </c>
      <c r="E50" s="129" t="s">
        <v>2702</v>
      </c>
      <c r="F50" s="129" t="s">
        <v>2703</v>
      </c>
      <c r="G50" s="129" t="s">
        <v>2704</v>
      </c>
      <c r="H50" s="129" t="s">
        <v>2705</v>
      </c>
      <c r="I50" s="129" t="s">
        <v>2706</v>
      </c>
      <c r="J50" s="79">
        <v>45971</v>
      </c>
      <c r="K50" s="79"/>
      <c r="L50" s="141">
        <v>6</v>
      </c>
      <c r="M50" s="80"/>
      <c r="N50" s="80"/>
      <c r="O50" s="80"/>
      <c r="P50" s="80"/>
      <c r="Q50" s="80"/>
      <c r="R50" s="80"/>
      <c r="S50" s="80"/>
    </row>
    <row r="51" spans="1:19" ht="43.2" x14ac:dyDescent="0.3">
      <c r="A51" s="124" t="s">
        <v>2707</v>
      </c>
      <c r="B51" s="132" t="s">
        <v>305</v>
      </c>
      <c r="C51" s="129" t="s">
        <v>1222</v>
      </c>
      <c r="D51" s="129" t="s">
        <v>2708</v>
      </c>
      <c r="E51" s="129" t="s">
        <v>2709</v>
      </c>
      <c r="F51" s="129" t="s">
        <v>2710</v>
      </c>
      <c r="G51" s="129" t="s">
        <v>2711</v>
      </c>
      <c r="H51" s="129" t="s">
        <v>2712</v>
      </c>
      <c r="I51" s="129" t="s">
        <v>2713</v>
      </c>
      <c r="J51" s="79">
        <v>45971</v>
      </c>
      <c r="K51" s="79"/>
      <c r="L51" s="141">
        <v>6</v>
      </c>
      <c r="M51" s="80"/>
      <c r="N51" s="80"/>
      <c r="O51" s="80"/>
      <c r="P51" s="80"/>
      <c r="Q51" s="80"/>
      <c r="R51" s="80"/>
      <c r="S51" s="80"/>
    </row>
    <row r="52" spans="1:19" ht="57.6" x14ac:dyDescent="0.3">
      <c r="A52" s="124" t="s">
        <v>2714</v>
      </c>
      <c r="B52" s="132" t="s">
        <v>305</v>
      </c>
      <c r="C52" s="129" t="s">
        <v>1476</v>
      </c>
      <c r="D52" s="129" t="s">
        <v>2715</v>
      </c>
      <c r="E52" s="129" t="s">
        <v>2716</v>
      </c>
      <c r="F52" s="129" t="s">
        <v>2717</v>
      </c>
      <c r="G52" s="129" t="s">
        <v>2718</v>
      </c>
      <c r="H52" s="129" t="s">
        <v>2719</v>
      </c>
      <c r="I52" s="129" t="s">
        <v>2720</v>
      </c>
      <c r="J52" s="79">
        <v>45971</v>
      </c>
      <c r="K52" s="79"/>
      <c r="L52" s="141">
        <v>6</v>
      </c>
      <c r="M52" s="80"/>
      <c r="N52" s="80"/>
      <c r="O52" s="80"/>
      <c r="P52" s="80"/>
      <c r="Q52" s="80"/>
      <c r="R52" s="80"/>
      <c r="S52" s="80"/>
    </row>
    <row r="53" spans="1:19" ht="57.6" x14ac:dyDescent="0.3">
      <c r="A53" s="124" t="s">
        <v>2721</v>
      </c>
      <c r="B53" s="132" t="s">
        <v>305</v>
      </c>
      <c r="C53" s="129" t="s">
        <v>1222</v>
      </c>
      <c r="D53" s="129" t="s">
        <v>2722</v>
      </c>
      <c r="E53" s="129" t="s">
        <v>2723</v>
      </c>
      <c r="F53" s="129" t="s">
        <v>2724</v>
      </c>
      <c r="G53" s="129" t="s">
        <v>2725</v>
      </c>
      <c r="H53" s="129" t="s">
        <v>2726</v>
      </c>
      <c r="I53" s="129" t="s">
        <v>2727</v>
      </c>
      <c r="J53" s="79">
        <v>45971</v>
      </c>
      <c r="K53" s="79"/>
      <c r="L53" s="141">
        <v>6</v>
      </c>
      <c r="M53" s="80"/>
      <c r="N53" s="80"/>
      <c r="O53" s="80"/>
      <c r="P53" s="80"/>
      <c r="Q53" s="80"/>
      <c r="R53" s="80"/>
      <c r="S53" s="80"/>
    </row>
    <row r="54" spans="1:19" ht="43.2" x14ac:dyDescent="0.3">
      <c r="A54" s="124" t="s">
        <v>2728</v>
      </c>
      <c r="B54" s="142" t="s">
        <v>539</v>
      </c>
      <c r="C54" s="129" t="s">
        <v>1214</v>
      </c>
      <c r="D54" s="129" t="s">
        <v>2729</v>
      </c>
      <c r="E54" s="129" t="s">
        <v>2730</v>
      </c>
      <c r="F54" s="129" t="s">
        <v>2731</v>
      </c>
      <c r="G54" s="129" t="s">
        <v>2732</v>
      </c>
      <c r="H54" s="129" t="s">
        <v>2733</v>
      </c>
      <c r="I54" s="129" t="s">
        <v>2734</v>
      </c>
      <c r="J54" s="79">
        <v>45971</v>
      </c>
      <c r="K54" s="79"/>
      <c r="L54" s="141">
        <v>6</v>
      </c>
      <c r="M54" s="80"/>
      <c r="N54" s="80"/>
      <c r="O54" s="80"/>
      <c r="P54" s="80"/>
      <c r="Q54" s="80"/>
      <c r="R54" s="80"/>
      <c r="S54" s="80"/>
    </row>
    <row r="55" spans="1:19" ht="72" x14ac:dyDescent="0.3">
      <c r="A55" s="124" t="s">
        <v>2735</v>
      </c>
      <c r="B55" s="142" t="s">
        <v>539</v>
      </c>
      <c r="C55" s="129" t="s">
        <v>1372</v>
      </c>
      <c r="D55" s="129" t="s">
        <v>2736</v>
      </c>
      <c r="E55" s="129" t="s">
        <v>2737</v>
      </c>
      <c r="F55" s="129" t="s">
        <v>2738</v>
      </c>
      <c r="G55" s="129" t="s">
        <v>2739</v>
      </c>
      <c r="H55" s="129" t="s">
        <v>2740</v>
      </c>
      <c r="I55" s="129" t="s">
        <v>2741</v>
      </c>
      <c r="J55" s="86">
        <v>45971</v>
      </c>
      <c r="K55" s="86"/>
      <c r="L55" s="141">
        <v>6</v>
      </c>
      <c r="M55" s="80"/>
      <c r="N55" s="80"/>
      <c r="O55" s="80"/>
      <c r="P55" s="80"/>
      <c r="Q55" s="80"/>
      <c r="R55" s="80"/>
      <c r="S55" s="80"/>
    </row>
    <row r="56" spans="1:19" ht="67.5" customHeight="1" x14ac:dyDescent="0.3">
      <c r="A56" s="124" t="s">
        <v>2742</v>
      </c>
      <c r="B56" s="142" t="s">
        <v>539</v>
      </c>
      <c r="C56" s="129" t="s">
        <v>1214</v>
      </c>
      <c r="D56" s="129" t="s">
        <v>2743</v>
      </c>
      <c r="E56" s="129" t="s">
        <v>2744</v>
      </c>
      <c r="F56" s="129" t="s">
        <v>2745</v>
      </c>
      <c r="G56" s="129" t="s">
        <v>2746</v>
      </c>
      <c r="H56" s="129" t="s">
        <v>2747</v>
      </c>
      <c r="I56" s="129" t="s">
        <v>2748</v>
      </c>
      <c r="J56" s="86">
        <v>45971</v>
      </c>
      <c r="K56" s="86"/>
      <c r="L56" s="141">
        <v>6</v>
      </c>
      <c r="M56" s="80"/>
      <c r="N56" s="80"/>
      <c r="O56" s="80"/>
      <c r="P56" s="80"/>
      <c r="Q56" s="80"/>
      <c r="R56" s="80"/>
      <c r="S56" s="80"/>
    </row>
    <row r="57" spans="1:19" ht="57.6" x14ac:dyDescent="0.3">
      <c r="A57" s="124" t="s">
        <v>2749</v>
      </c>
      <c r="B57" s="142" t="s">
        <v>539</v>
      </c>
      <c r="C57" s="129" t="s">
        <v>1372</v>
      </c>
      <c r="D57" s="129" t="s">
        <v>2750</v>
      </c>
      <c r="E57" s="129" t="s">
        <v>2751</v>
      </c>
      <c r="F57" s="129" t="s">
        <v>2752</v>
      </c>
      <c r="G57" s="129" t="s">
        <v>2753</v>
      </c>
      <c r="H57" s="129" t="s">
        <v>2754</v>
      </c>
      <c r="I57" s="129" t="s">
        <v>2755</v>
      </c>
      <c r="J57" s="86">
        <v>45971</v>
      </c>
      <c r="K57" s="86"/>
      <c r="L57" s="141">
        <v>6</v>
      </c>
      <c r="M57" s="80"/>
      <c r="N57" s="80"/>
      <c r="O57" s="80"/>
      <c r="P57" s="80"/>
      <c r="Q57" s="80"/>
      <c r="R57" s="80"/>
      <c r="S57" s="80"/>
    </row>
    <row r="58" spans="1:19" ht="57.6" x14ac:dyDescent="0.3">
      <c r="A58" s="124" t="s">
        <v>2756</v>
      </c>
      <c r="B58" s="142" t="s">
        <v>539</v>
      </c>
      <c r="C58" s="129" t="s">
        <v>2400</v>
      </c>
      <c r="D58" s="129" t="s">
        <v>2757</v>
      </c>
      <c r="E58" s="129" t="s">
        <v>2758</v>
      </c>
      <c r="F58" s="129" t="s">
        <v>2759</v>
      </c>
      <c r="G58" s="129" t="s">
        <v>2760</v>
      </c>
      <c r="H58" s="129" t="s">
        <v>2761</v>
      </c>
      <c r="I58" s="129" t="s">
        <v>2762</v>
      </c>
      <c r="J58" s="86">
        <v>45971</v>
      </c>
      <c r="K58" s="86"/>
      <c r="L58" s="141">
        <v>6</v>
      </c>
      <c r="M58" s="80"/>
      <c r="N58" s="80"/>
      <c r="O58" s="80"/>
      <c r="P58" s="80"/>
      <c r="Q58" s="80"/>
      <c r="R58" s="80"/>
      <c r="S58" s="80"/>
    </row>
    <row r="59" spans="1:19" ht="57.6" x14ac:dyDescent="0.3">
      <c r="A59" s="124" t="s">
        <v>2763</v>
      </c>
      <c r="B59" s="142" t="s">
        <v>539</v>
      </c>
      <c r="C59" s="129" t="s">
        <v>1214</v>
      </c>
      <c r="D59" s="129" t="s">
        <v>2764</v>
      </c>
      <c r="E59" s="129" t="s">
        <v>2765</v>
      </c>
      <c r="F59" s="129" t="s">
        <v>2766</v>
      </c>
      <c r="G59" s="129" t="s">
        <v>2767</v>
      </c>
      <c r="H59" s="129" t="s">
        <v>2768</v>
      </c>
      <c r="I59" s="129" t="s">
        <v>2734</v>
      </c>
      <c r="J59" s="86">
        <v>45971</v>
      </c>
      <c r="K59" s="86"/>
      <c r="L59" s="141">
        <v>6</v>
      </c>
      <c r="M59" s="80"/>
      <c r="N59" s="80"/>
      <c r="O59" s="80"/>
      <c r="P59" s="80"/>
      <c r="Q59" s="80"/>
      <c r="R59" s="80"/>
      <c r="S59" s="80"/>
    </row>
    <row r="60" spans="1:19" ht="43.2" x14ac:dyDescent="0.3">
      <c r="A60" s="124" t="s">
        <v>2769</v>
      </c>
      <c r="B60" s="142" t="s">
        <v>539</v>
      </c>
      <c r="C60" s="129" t="s">
        <v>1372</v>
      </c>
      <c r="D60" s="129" t="s">
        <v>2770</v>
      </c>
      <c r="E60" s="129" t="s">
        <v>2771</v>
      </c>
      <c r="F60" s="129" t="s">
        <v>2772</v>
      </c>
      <c r="G60" s="129" t="s">
        <v>2773</v>
      </c>
      <c r="H60" s="129" t="s">
        <v>2774</v>
      </c>
      <c r="I60" s="129" t="s">
        <v>2775</v>
      </c>
      <c r="J60" s="86">
        <v>45971</v>
      </c>
      <c r="K60" s="86"/>
      <c r="L60" s="141">
        <v>6</v>
      </c>
      <c r="M60" s="80"/>
      <c r="N60" s="80"/>
      <c r="O60" s="80"/>
      <c r="P60" s="80"/>
      <c r="Q60" s="80"/>
      <c r="R60" s="80"/>
      <c r="S60" s="80"/>
    </row>
    <row r="61" spans="1:19" ht="43.2" x14ac:dyDescent="0.3">
      <c r="A61" s="124" t="s">
        <v>2776</v>
      </c>
      <c r="B61" s="142" t="s">
        <v>539</v>
      </c>
      <c r="C61" s="129" t="s">
        <v>1214</v>
      </c>
      <c r="D61" s="129" t="s">
        <v>2777</v>
      </c>
      <c r="E61" s="129" t="s">
        <v>2778</v>
      </c>
      <c r="F61" s="129" t="s">
        <v>2779</v>
      </c>
      <c r="G61" s="129" t="s">
        <v>2780</v>
      </c>
      <c r="H61" s="129" t="s">
        <v>2781</v>
      </c>
      <c r="I61" s="129" t="s">
        <v>2782</v>
      </c>
      <c r="J61" s="86">
        <v>45971</v>
      </c>
      <c r="K61" s="86"/>
      <c r="L61" s="141">
        <v>6</v>
      </c>
      <c r="M61" s="80"/>
      <c r="N61" s="80"/>
      <c r="O61" s="80"/>
      <c r="P61" s="80"/>
      <c r="Q61" s="80"/>
      <c r="R61" s="80"/>
      <c r="S61" s="80"/>
    </row>
    <row r="62" spans="1:19" ht="43.2" x14ac:dyDescent="0.3">
      <c r="A62" s="124" t="s">
        <v>2783</v>
      </c>
      <c r="B62" s="142" t="s">
        <v>539</v>
      </c>
      <c r="C62" s="129" t="s">
        <v>1372</v>
      </c>
      <c r="D62" s="129" t="s">
        <v>2784</v>
      </c>
      <c r="E62" s="129" t="s">
        <v>2785</v>
      </c>
      <c r="F62" s="129" t="s">
        <v>2786</v>
      </c>
      <c r="G62" s="129" t="s">
        <v>2787</v>
      </c>
      <c r="H62" s="129" t="s">
        <v>2788</v>
      </c>
      <c r="I62" s="129" t="s">
        <v>2789</v>
      </c>
      <c r="J62" s="86">
        <v>45971</v>
      </c>
      <c r="K62" s="86"/>
      <c r="L62" s="141">
        <v>6</v>
      </c>
      <c r="M62" s="80"/>
      <c r="N62" s="80"/>
      <c r="O62" s="80"/>
      <c r="P62" s="80"/>
      <c r="Q62" s="80"/>
      <c r="R62" s="80"/>
      <c r="S62" s="80"/>
    </row>
    <row r="63" spans="1:19" ht="43.2" x14ac:dyDescent="0.3">
      <c r="A63" s="124" t="s">
        <v>2790</v>
      </c>
      <c r="B63" s="142" t="s">
        <v>539</v>
      </c>
      <c r="C63" s="129" t="s">
        <v>2400</v>
      </c>
      <c r="D63" s="129" t="s">
        <v>2791</v>
      </c>
      <c r="E63" s="129" t="s">
        <v>2792</v>
      </c>
      <c r="F63" s="129" t="s">
        <v>2793</v>
      </c>
      <c r="G63" s="129" t="s">
        <v>2794</v>
      </c>
      <c r="H63" s="129" t="s">
        <v>2795</v>
      </c>
      <c r="I63" s="129" t="s">
        <v>2796</v>
      </c>
      <c r="J63" s="86">
        <v>45971</v>
      </c>
      <c r="K63" s="86"/>
      <c r="L63" s="141">
        <v>6</v>
      </c>
      <c r="M63" s="80"/>
      <c r="N63" s="80"/>
      <c r="O63" s="80"/>
      <c r="P63" s="80"/>
      <c r="Q63" s="80"/>
      <c r="R63" s="80"/>
      <c r="S63" s="80"/>
    </row>
    <row r="64" spans="1:19" ht="100.8" x14ac:dyDescent="0.3">
      <c r="A64" s="80" t="s">
        <v>2797</v>
      </c>
      <c r="B64" s="69" t="s">
        <v>167</v>
      </c>
      <c r="C64" s="77" t="s">
        <v>2798</v>
      </c>
      <c r="D64" s="78" t="s">
        <v>2799</v>
      </c>
      <c r="E64" s="78" t="s">
        <v>2800</v>
      </c>
      <c r="F64" s="78" t="s">
        <v>2801</v>
      </c>
      <c r="G64" s="78" t="s">
        <v>2802</v>
      </c>
      <c r="H64" s="78" t="s">
        <v>2803</v>
      </c>
      <c r="I64" s="77" t="s">
        <v>2804</v>
      </c>
      <c r="J64" s="79">
        <v>45972</v>
      </c>
      <c r="K64" s="79"/>
      <c r="L64" s="141">
        <v>3</v>
      </c>
      <c r="M64" s="80"/>
      <c r="N64" s="80"/>
      <c r="O64" s="80"/>
      <c r="P64" s="80"/>
      <c r="Q64" s="80"/>
      <c r="R64" s="80"/>
      <c r="S64" s="80"/>
    </row>
    <row r="65" spans="1:19" ht="72" x14ac:dyDescent="0.3">
      <c r="A65" s="80" t="s">
        <v>2805</v>
      </c>
      <c r="B65" s="81" t="s">
        <v>219</v>
      </c>
      <c r="C65" s="84" t="s">
        <v>2798</v>
      </c>
      <c r="D65" s="85" t="s">
        <v>2806</v>
      </c>
      <c r="E65" s="85" t="s">
        <v>2807</v>
      </c>
      <c r="F65" s="85" t="s">
        <v>2808</v>
      </c>
      <c r="G65" s="85" t="s">
        <v>2809</v>
      </c>
      <c r="H65" s="85" t="s">
        <v>2810</v>
      </c>
      <c r="I65" s="84" t="s">
        <v>2811</v>
      </c>
      <c r="J65" s="86">
        <v>45972</v>
      </c>
      <c r="K65" s="86"/>
      <c r="L65" s="141">
        <v>4</v>
      </c>
      <c r="M65" s="80"/>
      <c r="N65" s="80"/>
      <c r="O65" s="80"/>
      <c r="P65" s="80"/>
      <c r="Q65" s="80"/>
      <c r="R65" s="80"/>
      <c r="S65" s="80"/>
    </row>
    <row r="66" spans="1:19" ht="43.2" x14ac:dyDescent="0.3">
      <c r="A66" s="80" t="s">
        <v>2812</v>
      </c>
      <c r="B66" s="81" t="s">
        <v>219</v>
      </c>
      <c r="C66" s="84" t="s">
        <v>2798</v>
      </c>
      <c r="D66" s="85" t="s">
        <v>2813</v>
      </c>
      <c r="E66" s="85" t="s">
        <v>2814</v>
      </c>
      <c r="F66" s="85" t="s">
        <v>2815</v>
      </c>
      <c r="G66" s="85" t="s">
        <v>2816</v>
      </c>
      <c r="H66" s="85" t="s">
        <v>2817</v>
      </c>
      <c r="I66" s="84" t="s">
        <v>2818</v>
      </c>
      <c r="J66" s="86">
        <v>45972</v>
      </c>
      <c r="K66" s="86"/>
      <c r="L66" s="141">
        <v>4</v>
      </c>
      <c r="M66" s="80"/>
      <c r="N66" s="80"/>
      <c r="O66" s="80"/>
      <c r="P66" s="80"/>
      <c r="Q66" s="80"/>
      <c r="R66" s="80"/>
      <c r="S66" s="80"/>
    </row>
    <row r="67" spans="1:19" ht="86.4" x14ac:dyDescent="0.3">
      <c r="A67" s="80" t="s">
        <v>2819</v>
      </c>
      <c r="B67" s="81" t="s">
        <v>219</v>
      </c>
      <c r="C67" s="84" t="s">
        <v>2798</v>
      </c>
      <c r="D67" s="85" t="s">
        <v>2820</v>
      </c>
      <c r="E67" s="85" t="s">
        <v>2821</v>
      </c>
      <c r="F67" s="85" t="s">
        <v>2822</v>
      </c>
      <c r="G67" s="85" t="s">
        <v>2823</v>
      </c>
      <c r="H67" s="85" t="s">
        <v>2824</v>
      </c>
      <c r="I67" s="84" t="s">
        <v>2825</v>
      </c>
      <c r="J67" s="86">
        <v>45972</v>
      </c>
      <c r="K67" s="86"/>
      <c r="L67" s="141">
        <v>4</v>
      </c>
      <c r="M67" s="80"/>
      <c r="N67" s="80"/>
      <c r="O67" s="80"/>
      <c r="P67" s="80"/>
      <c r="Q67" s="80"/>
      <c r="R67" s="80"/>
      <c r="S67" s="80"/>
    </row>
    <row r="68" spans="1:19" ht="72" x14ac:dyDescent="0.3">
      <c r="A68" s="80" t="s">
        <v>2826</v>
      </c>
      <c r="B68" s="81" t="s">
        <v>219</v>
      </c>
      <c r="C68" s="84" t="s">
        <v>2798</v>
      </c>
      <c r="D68" s="85" t="s">
        <v>2827</v>
      </c>
      <c r="E68" s="85" t="s">
        <v>2828</v>
      </c>
      <c r="F68" s="85" t="s">
        <v>2829</v>
      </c>
      <c r="G68" s="85" t="s">
        <v>2830</v>
      </c>
      <c r="H68" s="85" t="s">
        <v>2831</v>
      </c>
      <c r="I68" s="84" t="s">
        <v>2832</v>
      </c>
      <c r="J68" s="86">
        <v>45972</v>
      </c>
      <c r="K68" s="86"/>
      <c r="L68" s="141">
        <v>4</v>
      </c>
      <c r="M68" s="80"/>
      <c r="N68" s="80"/>
      <c r="O68" s="80"/>
      <c r="P68" s="80"/>
      <c r="Q68" s="80"/>
      <c r="R68" s="80"/>
      <c r="S68" s="80"/>
    </row>
    <row r="69" spans="1:19" ht="72" x14ac:dyDescent="0.3">
      <c r="A69" s="80" t="s">
        <v>2833</v>
      </c>
      <c r="B69" s="81" t="s">
        <v>219</v>
      </c>
      <c r="C69" s="84" t="s">
        <v>2798</v>
      </c>
      <c r="D69" s="85" t="s">
        <v>2834</v>
      </c>
      <c r="E69" s="85" t="s">
        <v>2835</v>
      </c>
      <c r="F69" s="85" t="s">
        <v>2836</v>
      </c>
      <c r="G69" s="85" t="s">
        <v>2837</v>
      </c>
      <c r="H69" s="85" t="s">
        <v>2838</v>
      </c>
      <c r="I69" s="84" t="s">
        <v>2839</v>
      </c>
      <c r="J69" s="86">
        <v>45972</v>
      </c>
      <c r="K69" s="86"/>
      <c r="L69" s="141">
        <v>4</v>
      </c>
      <c r="M69" s="80"/>
      <c r="N69" s="80"/>
      <c r="O69" s="80"/>
      <c r="P69" s="80"/>
      <c r="Q69" s="80"/>
      <c r="R69" s="80"/>
      <c r="S69" s="80"/>
    </row>
    <row r="70" spans="1:19" ht="57.6" x14ac:dyDescent="0.3">
      <c r="A70" s="80" t="s">
        <v>2840</v>
      </c>
      <c r="B70" s="81" t="s">
        <v>219</v>
      </c>
      <c r="C70" s="84" t="s">
        <v>2841</v>
      </c>
      <c r="D70" s="85" t="s">
        <v>2842</v>
      </c>
      <c r="E70" s="85" t="s">
        <v>2843</v>
      </c>
      <c r="F70" s="85" t="s">
        <v>2844</v>
      </c>
      <c r="G70" s="85" t="s">
        <v>2845</v>
      </c>
      <c r="H70" s="85" t="s">
        <v>2846</v>
      </c>
      <c r="I70" s="84" t="s">
        <v>2847</v>
      </c>
      <c r="J70" s="86">
        <v>45972</v>
      </c>
      <c r="K70" s="86"/>
      <c r="L70" s="141">
        <v>4</v>
      </c>
      <c r="M70" s="80"/>
      <c r="N70" s="80"/>
      <c r="O70" s="80"/>
      <c r="P70" s="80"/>
      <c r="Q70" s="80"/>
      <c r="R70" s="80"/>
      <c r="S70" s="80"/>
    </row>
    <row r="71" spans="1:19" ht="72" x14ac:dyDescent="0.3">
      <c r="A71" s="80" t="s">
        <v>2848</v>
      </c>
      <c r="B71" s="81" t="s">
        <v>219</v>
      </c>
      <c r="C71" s="84" t="s">
        <v>2798</v>
      </c>
      <c r="D71" s="85" t="s">
        <v>2849</v>
      </c>
      <c r="E71" s="85" t="s">
        <v>2850</v>
      </c>
      <c r="F71" s="85" t="s">
        <v>2851</v>
      </c>
      <c r="G71" s="85" t="s">
        <v>2852</v>
      </c>
      <c r="H71" s="85" t="s">
        <v>2853</v>
      </c>
      <c r="I71" s="84" t="s">
        <v>2854</v>
      </c>
      <c r="J71" s="86">
        <v>45972</v>
      </c>
      <c r="K71" s="86"/>
      <c r="L71" s="141">
        <v>4</v>
      </c>
      <c r="M71" s="80"/>
      <c r="N71" s="80"/>
      <c r="O71" s="80"/>
      <c r="P71" s="80"/>
      <c r="Q71" s="80"/>
      <c r="R71" s="80"/>
      <c r="S71" s="80"/>
    </row>
    <row r="72" spans="1:19" ht="115.2" x14ac:dyDescent="0.3">
      <c r="A72" s="80" t="s">
        <v>2855</v>
      </c>
      <c r="B72" s="81" t="s">
        <v>219</v>
      </c>
      <c r="C72" s="84" t="s">
        <v>2798</v>
      </c>
      <c r="D72" s="85" t="s">
        <v>2856</v>
      </c>
      <c r="E72" s="85" t="s">
        <v>2857</v>
      </c>
      <c r="F72" s="85" t="s">
        <v>2858</v>
      </c>
      <c r="G72" s="85" t="s">
        <v>2859</v>
      </c>
      <c r="H72" s="85" t="s">
        <v>2860</v>
      </c>
      <c r="I72" s="84" t="s">
        <v>2861</v>
      </c>
      <c r="J72" s="86">
        <v>45972</v>
      </c>
      <c r="K72" s="86"/>
      <c r="L72" s="141">
        <v>4</v>
      </c>
      <c r="M72" s="80"/>
      <c r="N72" s="80"/>
      <c r="O72" s="80"/>
      <c r="P72" s="80"/>
      <c r="Q72" s="80"/>
      <c r="R72" s="80"/>
      <c r="S72" s="80"/>
    </row>
    <row r="73" spans="1:19" ht="100.8" x14ac:dyDescent="0.3">
      <c r="A73" s="80" t="s">
        <v>2862</v>
      </c>
      <c r="B73" s="81" t="s">
        <v>219</v>
      </c>
      <c r="C73" s="84" t="s">
        <v>3</v>
      </c>
      <c r="D73" s="85" t="s">
        <v>2863</v>
      </c>
      <c r="E73" s="85" t="s">
        <v>2864</v>
      </c>
      <c r="F73" s="85" t="s">
        <v>2865</v>
      </c>
      <c r="G73" s="85" t="s">
        <v>2866</v>
      </c>
      <c r="H73" s="85" t="s">
        <v>2867</v>
      </c>
      <c r="I73" s="84" t="s">
        <v>2868</v>
      </c>
      <c r="J73" s="86">
        <v>45972</v>
      </c>
      <c r="K73" s="86"/>
      <c r="L73" s="141">
        <v>4</v>
      </c>
      <c r="M73" s="80"/>
      <c r="N73" s="80"/>
      <c r="O73" s="80"/>
      <c r="P73" s="80"/>
      <c r="Q73" s="80"/>
      <c r="R73" s="80"/>
      <c r="S73" s="80"/>
    </row>
    <row r="74" spans="1:19" ht="100.8" x14ac:dyDescent="0.3">
      <c r="A74" s="80" t="s">
        <v>2869</v>
      </c>
      <c r="B74" s="81" t="s">
        <v>219</v>
      </c>
      <c r="C74" s="84" t="s">
        <v>3</v>
      </c>
      <c r="D74" s="85" t="s">
        <v>2870</v>
      </c>
      <c r="E74" s="85" t="s">
        <v>2871</v>
      </c>
      <c r="F74" s="85" t="s">
        <v>2872</v>
      </c>
      <c r="G74" s="85" t="s">
        <v>2873</v>
      </c>
      <c r="H74" s="85" t="s">
        <v>2874</v>
      </c>
      <c r="I74" s="84" t="s">
        <v>2875</v>
      </c>
      <c r="J74" s="86">
        <v>45972</v>
      </c>
      <c r="K74" s="86"/>
      <c r="L74" s="141">
        <v>4</v>
      </c>
      <c r="M74" s="80"/>
      <c r="N74" s="80"/>
      <c r="O74" s="80"/>
      <c r="P74" s="80"/>
      <c r="Q74" s="80"/>
      <c r="R74" s="80"/>
      <c r="S74" s="80"/>
    </row>
    <row r="75" spans="1:19" ht="72" x14ac:dyDescent="0.3">
      <c r="A75" s="80" t="s">
        <v>2876</v>
      </c>
      <c r="B75" s="81" t="s">
        <v>219</v>
      </c>
      <c r="C75" s="84" t="s">
        <v>2798</v>
      </c>
      <c r="D75" s="85" t="s">
        <v>2877</v>
      </c>
      <c r="E75" s="85" t="s">
        <v>2878</v>
      </c>
      <c r="F75" s="85" t="s">
        <v>2879</v>
      </c>
      <c r="G75" s="85" t="s">
        <v>2880</v>
      </c>
      <c r="H75" s="85" t="s">
        <v>2881</v>
      </c>
      <c r="I75" s="84" t="s">
        <v>2882</v>
      </c>
      <c r="J75" s="86">
        <v>45972</v>
      </c>
      <c r="K75" s="86"/>
      <c r="L75" s="141">
        <v>4</v>
      </c>
      <c r="M75" s="80"/>
      <c r="N75" s="80"/>
      <c r="O75" s="80"/>
      <c r="P75" s="80"/>
      <c r="Q75" s="80"/>
      <c r="R75" s="80"/>
      <c r="S75" s="80"/>
    </row>
    <row r="76" spans="1:19" ht="100.8" x14ac:dyDescent="0.3">
      <c r="A76" s="80" t="s">
        <v>2883</v>
      </c>
      <c r="B76" s="81" t="s">
        <v>219</v>
      </c>
      <c r="C76" s="84" t="s">
        <v>2798</v>
      </c>
      <c r="D76" s="85" t="s">
        <v>2884</v>
      </c>
      <c r="E76" s="85" t="s">
        <v>2885</v>
      </c>
      <c r="F76" s="85" t="s">
        <v>2886</v>
      </c>
      <c r="G76" s="85" t="s">
        <v>2887</v>
      </c>
      <c r="H76" s="85" t="s">
        <v>2888</v>
      </c>
      <c r="I76" s="84" t="s">
        <v>2889</v>
      </c>
      <c r="J76" s="86">
        <v>45972</v>
      </c>
      <c r="K76" s="86"/>
      <c r="L76" s="141">
        <v>4</v>
      </c>
      <c r="M76" s="80"/>
      <c r="N76" s="80"/>
      <c r="O76" s="80"/>
      <c r="P76" s="80"/>
      <c r="Q76" s="80"/>
      <c r="R76" s="80"/>
      <c r="S76" s="80"/>
    </row>
    <row r="77" spans="1:19" ht="144.75" customHeight="1" x14ac:dyDescent="0.3">
      <c r="A77" s="80" t="s">
        <v>2890</v>
      </c>
      <c r="B77" s="81" t="s">
        <v>219</v>
      </c>
      <c r="C77" s="84" t="s">
        <v>2798</v>
      </c>
      <c r="D77" s="85" t="s">
        <v>2891</v>
      </c>
      <c r="E77" s="85" t="s">
        <v>2892</v>
      </c>
      <c r="F77" s="85" t="s">
        <v>2893</v>
      </c>
      <c r="G77" s="85" t="s">
        <v>2894</v>
      </c>
      <c r="H77" s="85" t="s">
        <v>2895</v>
      </c>
      <c r="I77" s="84" t="s">
        <v>2896</v>
      </c>
      <c r="J77" s="86">
        <v>45972</v>
      </c>
      <c r="K77" s="86"/>
      <c r="L77" s="141">
        <v>4</v>
      </c>
      <c r="M77" s="80"/>
      <c r="N77" s="80"/>
      <c r="O77" s="80"/>
      <c r="P77" s="80"/>
      <c r="Q77" s="80"/>
      <c r="R77" s="80"/>
      <c r="S77" s="80"/>
    </row>
    <row r="78" spans="1:19" ht="100.8" x14ac:dyDescent="0.3">
      <c r="A78" s="80" t="s">
        <v>2897</v>
      </c>
      <c r="B78" s="81" t="s">
        <v>219</v>
      </c>
      <c r="C78" s="84" t="s">
        <v>2841</v>
      </c>
      <c r="D78" s="85" t="s">
        <v>2898</v>
      </c>
      <c r="E78" s="85" t="s">
        <v>2899</v>
      </c>
      <c r="F78" s="85" t="s">
        <v>2900</v>
      </c>
      <c r="G78" s="85" t="s">
        <v>2901</v>
      </c>
      <c r="H78" s="85" t="s">
        <v>2902</v>
      </c>
      <c r="I78" s="84" t="s">
        <v>2903</v>
      </c>
      <c r="J78" s="86">
        <v>45972</v>
      </c>
      <c r="K78" s="86"/>
      <c r="L78" s="141">
        <v>4</v>
      </c>
      <c r="M78" s="80"/>
      <c r="N78" s="80"/>
      <c r="O78" s="80"/>
      <c r="P78" s="80"/>
      <c r="Q78" s="80"/>
      <c r="R78" s="80"/>
      <c r="S78" s="80"/>
    </row>
    <row r="79" spans="1:19" ht="100.8" x14ac:dyDescent="0.3">
      <c r="A79" s="80" t="s">
        <v>2904</v>
      </c>
      <c r="B79" s="81" t="s">
        <v>219</v>
      </c>
      <c r="C79" s="84" t="s">
        <v>2798</v>
      </c>
      <c r="D79" s="85" t="s">
        <v>2905</v>
      </c>
      <c r="E79" s="85" t="s">
        <v>2906</v>
      </c>
      <c r="F79" s="85" t="s">
        <v>2907</v>
      </c>
      <c r="G79" s="85" t="s">
        <v>2908</v>
      </c>
      <c r="H79" s="85" t="s">
        <v>2909</v>
      </c>
      <c r="I79" s="84" t="s">
        <v>2910</v>
      </c>
      <c r="J79" s="86">
        <v>45972</v>
      </c>
      <c r="K79" s="86"/>
      <c r="L79" s="141">
        <v>4</v>
      </c>
      <c r="M79" s="80"/>
      <c r="N79" s="80"/>
      <c r="O79" s="80"/>
      <c r="P79" s="80"/>
      <c r="Q79" s="80"/>
      <c r="R79" s="80"/>
      <c r="S79" s="80"/>
    </row>
    <row r="80" spans="1:19" ht="57.6" x14ac:dyDescent="0.3">
      <c r="A80" s="80" t="s">
        <v>2911</v>
      </c>
      <c r="B80" s="82" t="s">
        <v>305</v>
      </c>
      <c r="C80" s="77" t="s">
        <v>2798</v>
      </c>
      <c r="D80" s="78" t="s">
        <v>2912</v>
      </c>
      <c r="E80" s="78" t="s">
        <v>2913</v>
      </c>
      <c r="F80" s="78" t="s">
        <v>2914</v>
      </c>
      <c r="G80" s="78" t="s">
        <v>2915</v>
      </c>
      <c r="H80" s="78" t="s">
        <v>2916</v>
      </c>
      <c r="I80" s="77" t="s">
        <v>2917</v>
      </c>
      <c r="J80" s="79">
        <v>45972</v>
      </c>
      <c r="K80" s="79"/>
      <c r="L80" s="141">
        <v>6</v>
      </c>
      <c r="M80" s="80"/>
      <c r="N80" s="80"/>
      <c r="O80" s="80"/>
      <c r="P80" s="80"/>
      <c r="Q80" s="80"/>
      <c r="R80" s="80"/>
      <c r="S80" s="80"/>
    </row>
    <row r="81" spans="1:19" ht="72" x14ac:dyDescent="0.3">
      <c r="A81" s="80" t="s">
        <v>2918</v>
      </c>
      <c r="B81" s="82" t="s">
        <v>305</v>
      </c>
      <c r="C81" s="77" t="s">
        <v>2798</v>
      </c>
      <c r="D81" s="78" t="s">
        <v>2919</v>
      </c>
      <c r="E81" s="78" t="s">
        <v>2920</v>
      </c>
      <c r="F81" s="78" t="s">
        <v>2921</v>
      </c>
      <c r="G81" s="78" t="s">
        <v>2922</v>
      </c>
      <c r="H81" s="78" t="s">
        <v>2923</v>
      </c>
      <c r="I81" s="77" t="s">
        <v>2924</v>
      </c>
      <c r="J81" s="79">
        <v>45972</v>
      </c>
      <c r="K81" s="79"/>
      <c r="L81" s="141">
        <v>6</v>
      </c>
      <c r="M81" s="80"/>
      <c r="N81" s="80"/>
      <c r="O81" s="80"/>
      <c r="P81" s="80"/>
      <c r="Q81" s="80"/>
      <c r="R81" s="80"/>
      <c r="S81" s="80"/>
    </row>
    <row r="82" spans="1:19" ht="86.4" x14ac:dyDescent="0.3">
      <c r="A82" s="80" t="s">
        <v>2925</v>
      </c>
      <c r="B82" s="82" t="s">
        <v>305</v>
      </c>
      <c r="C82" s="77" t="s">
        <v>2798</v>
      </c>
      <c r="D82" s="78" t="s">
        <v>2926</v>
      </c>
      <c r="E82" s="78" t="s">
        <v>1585</v>
      </c>
      <c r="F82" s="78" t="s">
        <v>2927</v>
      </c>
      <c r="G82" s="78" t="s">
        <v>2928</v>
      </c>
      <c r="H82" s="78" t="s">
        <v>2929</v>
      </c>
      <c r="I82" s="77" t="s">
        <v>2930</v>
      </c>
      <c r="J82" s="79">
        <v>45972</v>
      </c>
      <c r="K82" s="79"/>
      <c r="L82" s="141">
        <v>6</v>
      </c>
      <c r="M82" s="80"/>
      <c r="N82" s="80"/>
      <c r="O82" s="80"/>
      <c r="P82" s="80"/>
      <c r="Q82" s="80"/>
      <c r="R82" s="80"/>
      <c r="S82" s="80"/>
    </row>
    <row r="83" spans="1:19" ht="86.4" x14ac:dyDescent="0.3">
      <c r="A83" s="80" t="s">
        <v>2931</v>
      </c>
      <c r="B83" s="82" t="s">
        <v>305</v>
      </c>
      <c r="C83" s="77" t="s">
        <v>2798</v>
      </c>
      <c r="D83" s="78" t="s">
        <v>2932</v>
      </c>
      <c r="E83" s="78" t="s">
        <v>2933</v>
      </c>
      <c r="F83" s="78" t="s">
        <v>2934</v>
      </c>
      <c r="G83" s="78" t="s">
        <v>2935</v>
      </c>
      <c r="H83" s="78" t="s">
        <v>2936</v>
      </c>
      <c r="I83" s="77" t="s">
        <v>2937</v>
      </c>
      <c r="J83" s="79">
        <v>45972</v>
      </c>
      <c r="K83" s="79"/>
      <c r="L83" s="141">
        <v>6</v>
      </c>
      <c r="M83" s="80"/>
      <c r="N83" s="80"/>
      <c r="O83" s="80"/>
      <c r="P83" s="80"/>
      <c r="Q83" s="80"/>
      <c r="R83" s="80"/>
      <c r="S83" s="80"/>
    </row>
    <row r="84" spans="1:19" ht="43.2" x14ac:dyDescent="0.3">
      <c r="A84" s="80" t="s">
        <v>2938</v>
      </c>
      <c r="B84" s="81" t="s">
        <v>219</v>
      </c>
      <c r="C84" s="119" t="s">
        <v>2798</v>
      </c>
      <c r="D84" s="118" t="s">
        <v>2408</v>
      </c>
      <c r="E84" s="118" t="s">
        <v>2939</v>
      </c>
      <c r="F84" s="118" t="s">
        <v>2940</v>
      </c>
      <c r="G84" s="118" t="s">
        <v>2941</v>
      </c>
      <c r="H84" s="118" t="s">
        <v>2942</v>
      </c>
      <c r="I84" s="119" t="s">
        <v>2943</v>
      </c>
      <c r="J84" s="120">
        <v>45972</v>
      </c>
      <c r="K84" s="120"/>
      <c r="L84" s="141">
        <v>4</v>
      </c>
      <c r="M84" s="80"/>
      <c r="N84" s="80"/>
      <c r="O84" s="80"/>
      <c r="P84" s="80"/>
      <c r="Q84" s="80"/>
      <c r="R84" s="80"/>
      <c r="S84" s="80"/>
    </row>
    <row r="85" spans="1:19" ht="43.2" x14ac:dyDescent="0.3">
      <c r="A85" s="80" t="s">
        <v>2944</v>
      </c>
      <c r="B85" s="81" t="s">
        <v>219</v>
      </c>
      <c r="C85" s="119" t="s">
        <v>2798</v>
      </c>
      <c r="D85" s="118" t="s">
        <v>2945</v>
      </c>
      <c r="E85" s="118" t="s">
        <v>2946</v>
      </c>
      <c r="F85" s="118" t="s">
        <v>2947</v>
      </c>
      <c r="G85" s="118" t="s">
        <v>2948</v>
      </c>
      <c r="H85" s="118" t="s">
        <v>2949</v>
      </c>
      <c r="I85" s="119" t="s">
        <v>2950</v>
      </c>
      <c r="J85" s="120">
        <v>45972</v>
      </c>
      <c r="K85" s="120"/>
      <c r="L85" s="141">
        <v>4</v>
      </c>
      <c r="M85" s="80"/>
      <c r="N85" s="80"/>
      <c r="O85" s="80"/>
      <c r="P85" s="80"/>
      <c r="Q85" s="80"/>
      <c r="R85" s="80"/>
      <c r="S85" s="80"/>
    </row>
    <row r="86" spans="1:19" ht="43.2" x14ac:dyDescent="0.3">
      <c r="A86" s="80" t="s">
        <v>2951</v>
      </c>
      <c r="B86" s="81" t="s">
        <v>219</v>
      </c>
      <c r="C86" s="119" t="s">
        <v>2798</v>
      </c>
      <c r="D86" s="118" t="s">
        <v>2952</v>
      </c>
      <c r="E86" s="118" t="s">
        <v>2953</v>
      </c>
      <c r="F86" s="118" t="s">
        <v>2954</v>
      </c>
      <c r="G86" s="118" t="s">
        <v>2955</v>
      </c>
      <c r="H86" s="118" t="s">
        <v>2956</v>
      </c>
      <c r="I86" s="119" t="s">
        <v>2957</v>
      </c>
      <c r="J86" s="120">
        <v>45972</v>
      </c>
      <c r="K86" s="120"/>
      <c r="L86" s="141">
        <v>4</v>
      </c>
      <c r="M86" s="80"/>
      <c r="N86" s="80"/>
      <c r="O86" s="80"/>
      <c r="P86" s="80"/>
      <c r="Q86" s="80"/>
      <c r="R86" s="80"/>
      <c r="S86" s="80"/>
    </row>
    <row r="87" spans="1:19" ht="43.2" x14ac:dyDescent="0.3">
      <c r="A87" s="80" t="s">
        <v>2958</v>
      </c>
      <c r="B87" s="81" t="s">
        <v>219</v>
      </c>
      <c r="C87" s="119" t="s">
        <v>2798</v>
      </c>
      <c r="D87" s="118" t="s">
        <v>2959</v>
      </c>
      <c r="E87" s="118" t="s">
        <v>2960</v>
      </c>
      <c r="F87" s="118" t="s">
        <v>2961</v>
      </c>
      <c r="G87" s="118" t="s">
        <v>2962</v>
      </c>
      <c r="H87" s="118" t="s">
        <v>2963</v>
      </c>
      <c r="I87" s="119" t="s">
        <v>2964</v>
      </c>
      <c r="J87" s="120">
        <v>45972</v>
      </c>
      <c r="K87" s="120"/>
      <c r="L87" s="141">
        <v>4</v>
      </c>
      <c r="M87" s="80"/>
      <c r="N87" s="80"/>
      <c r="O87" s="80"/>
      <c r="P87" s="80"/>
      <c r="Q87" s="80"/>
      <c r="R87" s="80"/>
      <c r="S87" s="80"/>
    </row>
    <row r="88" spans="1:19" ht="57.6" x14ac:dyDescent="0.3">
      <c r="A88" s="80" t="s">
        <v>2965</v>
      </c>
      <c r="B88" s="82" t="s">
        <v>305</v>
      </c>
      <c r="C88" s="119" t="s">
        <v>3</v>
      </c>
      <c r="D88" s="118" t="s">
        <v>2966</v>
      </c>
      <c r="E88" s="118" t="s">
        <v>2967</v>
      </c>
      <c r="F88" s="118" t="s">
        <v>2968</v>
      </c>
      <c r="G88" s="118" t="s">
        <v>2969</v>
      </c>
      <c r="H88" s="118" t="s">
        <v>2970</v>
      </c>
      <c r="I88" s="119" t="s">
        <v>2971</v>
      </c>
      <c r="J88" s="120">
        <v>45972</v>
      </c>
      <c r="K88" s="120"/>
      <c r="L88" s="141">
        <v>6</v>
      </c>
      <c r="M88" s="80"/>
      <c r="N88" s="80"/>
      <c r="O88" s="80"/>
      <c r="P88" s="80"/>
      <c r="Q88" s="80"/>
      <c r="R88" s="80"/>
      <c r="S88" s="80"/>
    </row>
    <row r="89" spans="1:19" ht="43.2" x14ac:dyDescent="0.3">
      <c r="A89" s="80" t="s">
        <v>2972</v>
      </c>
      <c r="B89" s="82" t="s">
        <v>305</v>
      </c>
      <c r="C89" s="119" t="s">
        <v>3</v>
      </c>
      <c r="D89" s="118" t="s">
        <v>2973</v>
      </c>
      <c r="E89" s="118" t="s">
        <v>2974</v>
      </c>
      <c r="F89" s="118" t="s">
        <v>2975</v>
      </c>
      <c r="G89" s="118" t="s">
        <v>2976</v>
      </c>
      <c r="H89" s="118" t="s">
        <v>2977</v>
      </c>
      <c r="I89" s="119" t="s">
        <v>2978</v>
      </c>
      <c r="J89" s="120">
        <v>45972</v>
      </c>
      <c r="K89" s="120"/>
      <c r="L89" s="141">
        <v>6</v>
      </c>
      <c r="M89" s="80"/>
      <c r="N89" s="80"/>
      <c r="O89" s="80"/>
      <c r="P89" s="80"/>
      <c r="Q89" s="80"/>
      <c r="R89" s="80"/>
      <c r="S89" s="80"/>
    </row>
    <row r="90" spans="1:19" ht="43.2" x14ac:dyDescent="0.3">
      <c r="A90" s="80" t="s">
        <v>2979</v>
      </c>
      <c r="B90" s="82" t="s">
        <v>305</v>
      </c>
      <c r="C90" s="119" t="s">
        <v>3</v>
      </c>
      <c r="D90" s="118" t="s">
        <v>2980</v>
      </c>
      <c r="E90" s="118" t="s">
        <v>2981</v>
      </c>
      <c r="F90" s="118" t="s">
        <v>2982</v>
      </c>
      <c r="G90" s="118" t="s">
        <v>2983</v>
      </c>
      <c r="H90" s="118" t="s">
        <v>2984</v>
      </c>
      <c r="I90" s="119" t="s">
        <v>2985</v>
      </c>
      <c r="J90" s="120">
        <v>45972</v>
      </c>
      <c r="K90" s="120"/>
      <c r="L90" s="141">
        <v>6</v>
      </c>
      <c r="M90" s="80"/>
      <c r="N90" s="80"/>
      <c r="O90" s="80"/>
      <c r="P90" s="80"/>
      <c r="Q90" s="80"/>
      <c r="R90" s="80"/>
      <c r="S90" s="80"/>
    </row>
    <row r="91" spans="1:19" ht="43.2" x14ac:dyDescent="0.3">
      <c r="A91" s="80" t="s">
        <v>2986</v>
      </c>
      <c r="B91" s="82" t="s">
        <v>305</v>
      </c>
      <c r="C91" s="119" t="s">
        <v>3</v>
      </c>
      <c r="D91" s="118" t="s">
        <v>2987</v>
      </c>
      <c r="E91" s="118" t="s">
        <v>2988</v>
      </c>
      <c r="F91" s="118" t="s">
        <v>2989</v>
      </c>
      <c r="G91" s="118" t="s">
        <v>2990</v>
      </c>
      <c r="H91" s="118" t="s">
        <v>2991</v>
      </c>
      <c r="I91" s="119" t="s">
        <v>2992</v>
      </c>
      <c r="J91" s="120">
        <v>45972</v>
      </c>
      <c r="K91" s="120"/>
      <c r="L91" s="141">
        <v>6</v>
      </c>
      <c r="M91" s="80"/>
      <c r="N91" s="80"/>
      <c r="O91" s="80"/>
      <c r="P91" s="80"/>
      <c r="Q91" s="80"/>
      <c r="R91" s="80"/>
      <c r="S91" s="80"/>
    </row>
    <row r="92" spans="1:19" ht="43.2" x14ac:dyDescent="0.3">
      <c r="A92" s="80" t="s">
        <v>2993</v>
      </c>
      <c r="B92" s="82" t="s">
        <v>305</v>
      </c>
      <c r="C92" s="119" t="s">
        <v>3</v>
      </c>
      <c r="D92" s="118" t="s">
        <v>2994</v>
      </c>
      <c r="E92" s="118" t="s">
        <v>2995</v>
      </c>
      <c r="F92" s="118" t="s">
        <v>2996</v>
      </c>
      <c r="G92" s="118" t="s">
        <v>2997</v>
      </c>
      <c r="H92" s="118" t="s">
        <v>2998</v>
      </c>
      <c r="I92" s="119" t="s">
        <v>2999</v>
      </c>
      <c r="J92" s="120">
        <v>45972</v>
      </c>
      <c r="K92" s="120"/>
      <c r="L92" s="141">
        <v>6</v>
      </c>
      <c r="M92" s="80"/>
      <c r="N92" s="80"/>
      <c r="O92" s="80"/>
      <c r="P92" s="80"/>
      <c r="Q92" s="80"/>
      <c r="R92" s="80"/>
      <c r="S92" s="80"/>
    </row>
    <row r="93" spans="1:19" ht="57.6" x14ac:dyDescent="0.3">
      <c r="A93" s="80" t="s">
        <v>3000</v>
      </c>
      <c r="B93" s="82" t="s">
        <v>305</v>
      </c>
      <c r="C93" s="119" t="s">
        <v>3</v>
      </c>
      <c r="D93" s="118" t="s">
        <v>3001</v>
      </c>
      <c r="E93" s="118" t="s">
        <v>3002</v>
      </c>
      <c r="F93" s="118" t="s">
        <v>3003</v>
      </c>
      <c r="G93" s="118" t="s">
        <v>3004</v>
      </c>
      <c r="H93" s="118" t="s">
        <v>3005</v>
      </c>
      <c r="I93" s="119" t="s">
        <v>3006</v>
      </c>
      <c r="J93" s="120">
        <v>45972</v>
      </c>
      <c r="K93" s="120"/>
      <c r="L93" s="141">
        <v>6</v>
      </c>
      <c r="M93" s="80"/>
      <c r="N93" s="80"/>
      <c r="O93" s="80"/>
      <c r="P93" s="80"/>
      <c r="Q93" s="80"/>
      <c r="R93" s="80"/>
      <c r="S93" s="80"/>
    </row>
    <row r="94" spans="1:19" ht="43.2" x14ac:dyDescent="0.3">
      <c r="A94" s="80" t="s">
        <v>3007</v>
      </c>
      <c r="B94" s="82" t="s">
        <v>305</v>
      </c>
      <c r="C94" s="119" t="s">
        <v>2798</v>
      </c>
      <c r="D94" s="118" t="s">
        <v>3008</v>
      </c>
      <c r="E94" s="118" t="s">
        <v>3009</v>
      </c>
      <c r="F94" s="118" t="s">
        <v>3010</v>
      </c>
      <c r="G94" s="118" t="s">
        <v>3011</v>
      </c>
      <c r="H94" s="118" t="s">
        <v>3012</v>
      </c>
      <c r="I94" s="119" t="s">
        <v>3013</v>
      </c>
      <c r="J94" s="120">
        <v>45972</v>
      </c>
      <c r="K94" s="120"/>
      <c r="L94" s="141">
        <v>6</v>
      </c>
      <c r="M94" s="80"/>
      <c r="N94" s="80"/>
      <c r="O94" s="80"/>
      <c r="P94" s="80"/>
      <c r="Q94" s="80"/>
      <c r="R94" s="80"/>
      <c r="S94" s="80"/>
    </row>
    <row r="95" spans="1:19" ht="43.2" x14ac:dyDescent="0.3">
      <c r="A95" s="80" t="s">
        <v>3014</v>
      </c>
      <c r="B95" s="82" t="s">
        <v>305</v>
      </c>
      <c r="C95" s="119" t="s">
        <v>2798</v>
      </c>
      <c r="D95" s="118" t="s">
        <v>3015</v>
      </c>
      <c r="E95" s="118" t="s">
        <v>3016</v>
      </c>
      <c r="F95" s="118" t="s">
        <v>3017</v>
      </c>
      <c r="G95" s="118" t="s">
        <v>3018</v>
      </c>
      <c r="H95" s="118" t="s">
        <v>3019</v>
      </c>
      <c r="I95" s="119" t="s">
        <v>3020</v>
      </c>
      <c r="J95" s="120">
        <v>45972</v>
      </c>
      <c r="K95" s="120"/>
      <c r="L95" s="141">
        <v>6</v>
      </c>
      <c r="M95" s="80"/>
      <c r="N95" s="80"/>
      <c r="O95" s="80"/>
      <c r="P95" s="80"/>
      <c r="Q95" s="80"/>
      <c r="R95" s="80"/>
      <c r="S95" s="80"/>
    </row>
    <row r="96" spans="1:19" ht="57.6" x14ac:dyDescent="0.3">
      <c r="A96" s="80" t="s">
        <v>3021</v>
      </c>
      <c r="B96" s="82" t="s">
        <v>305</v>
      </c>
      <c r="C96" s="119" t="s">
        <v>2798</v>
      </c>
      <c r="D96" s="118" t="s">
        <v>3022</v>
      </c>
      <c r="E96" s="118" t="s">
        <v>3023</v>
      </c>
      <c r="F96" s="118" t="s">
        <v>3024</v>
      </c>
      <c r="G96" s="118" t="s">
        <v>3025</v>
      </c>
      <c r="H96" s="118" t="s">
        <v>3026</v>
      </c>
      <c r="I96" s="119" t="s">
        <v>3027</v>
      </c>
      <c r="J96" s="120">
        <v>45972</v>
      </c>
      <c r="K96" s="120"/>
      <c r="L96" s="141">
        <v>6</v>
      </c>
      <c r="M96" s="80"/>
      <c r="N96" s="80"/>
      <c r="O96" s="80"/>
      <c r="P96" s="80"/>
      <c r="Q96" s="80"/>
      <c r="R96" s="80"/>
      <c r="S96" s="80"/>
    </row>
    <row r="97" spans="1:19" ht="43.2" x14ac:dyDescent="0.3">
      <c r="A97" s="80" t="s">
        <v>3028</v>
      </c>
      <c r="B97" s="82" t="s">
        <v>305</v>
      </c>
      <c r="C97" s="119" t="s">
        <v>2798</v>
      </c>
      <c r="D97" s="118" t="s">
        <v>3029</v>
      </c>
      <c r="E97" s="118" t="s">
        <v>3030</v>
      </c>
      <c r="F97" s="118" t="s">
        <v>3031</v>
      </c>
      <c r="G97" s="118" t="s">
        <v>3032</v>
      </c>
      <c r="H97" s="118" t="s">
        <v>3033</v>
      </c>
      <c r="I97" s="119" t="s">
        <v>3034</v>
      </c>
      <c r="J97" s="120">
        <v>45972</v>
      </c>
      <c r="K97" s="120"/>
      <c r="L97" s="141">
        <v>6</v>
      </c>
      <c r="M97" s="80"/>
      <c r="N97" s="80"/>
      <c r="O97" s="80"/>
      <c r="P97" s="80"/>
      <c r="Q97" s="80"/>
      <c r="R97" s="80"/>
      <c r="S97" s="80"/>
    </row>
    <row r="98" spans="1:19" ht="43.2" x14ac:dyDescent="0.3">
      <c r="A98" s="80" t="s">
        <v>3035</v>
      </c>
      <c r="B98" s="82" t="s">
        <v>305</v>
      </c>
      <c r="C98" s="119" t="s">
        <v>2798</v>
      </c>
      <c r="D98" s="118" t="s">
        <v>3036</v>
      </c>
      <c r="E98" s="118" t="s">
        <v>3037</v>
      </c>
      <c r="F98" s="118" t="s">
        <v>3038</v>
      </c>
      <c r="G98" s="118" t="s">
        <v>3039</v>
      </c>
      <c r="H98" s="118" t="s">
        <v>3040</v>
      </c>
      <c r="I98" s="119" t="s">
        <v>3041</v>
      </c>
      <c r="J98" s="120">
        <v>45972</v>
      </c>
      <c r="K98" s="120"/>
      <c r="L98" s="141">
        <v>6</v>
      </c>
      <c r="M98" s="80"/>
      <c r="N98" s="80"/>
      <c r="O98" s="80"/>
      <c r="P98" s="80"/>
      <c r="Q98" s="80"/>
      <c r="R98" s="80"/>
      <c r="S98" s="80"/>
    </row>
    <row r="99" spans="1:19" ht="57.6" x14ac:dyDescent="0.3">
      <c r="A99" s="80" t="s">
        <v>3042</v>
      </c>
      <c r="B99" s="82" t="s">
        <v>305</v>
      </c>
      <c r="C99" s="119" t="s">
        <v>2841</v>
      </c>
      <c r="D99" s="118" t="s">
        <v>3043</v>
      </c>
      <c r="E99" s="118" t="s">
        <v>3044</v>
      </c>
      <c r="F99" s="118" t="s">
        <v>3045</v>
      </c>
      <c r="G99" s="118" t="s">
        <v>3046</v>
      </c>
      <c r="H99" s="118" t="s">
        <v>3047</v>
      </c>
      <c r="I99" s="119" t="s">
        <v>3048</v>
      </c>
      <c r="J99" s="120">
        <v>45972</v>
      </c>
      <c r="K99" s="120"/>
      <c r="L99" s="141">
        <v>6</v>
      </c>
      <c r="M99" s="80"/>
      <c r="N99" s="80"/>
      <c r="O99" s="80"/>
      <c r="P99" s="80"/>
      <c r="Q99" s="80"/>
      <c r="R99" s="80"/>
      <c r="S99" s="80"/>
    </row>
    <row r="100" spans="1:19" ht="57.6" x14ac:dyDescent="0.3">
      <c r="A100" s="80" t="s">
        <v>3049</v>
      </c>
      <c r="B100" s="82" t="s">
        <v>305</v>
      </c>
      <c r="C100" s="119" t="s">
        <v>2841</v>
      </c>
      <c r="D100" s="118" t="s">
        <v>3050</v>
      </c>
      <c r="E100" s="118" t="s">
        <v>3051</v>
      </c>
      <c r="F100" s="118" t="s">
        <v>3052</v>
      </c>
      <c r="G100" s="118" t="s">
        <v>3053</v>
      </c>
      <c r="H100" s="118" t="s">
        <v>3054</v>
      </c>
      <c r="I100" s="119" t="s">
        <v>3055</v>
      </c>
      <c r="J100" s="120">
        <v>45972</v>
      </c>
      <c r="K100" s="120"/>
      <c r="L100" s="141">
        <v>6</v>
      </c>
      <c r="M100" s="80"/>
      <c r="N100" s="80"/>
      <c r="O100" s="80"/>
      <c r="P100" s="80"/>
      <c r="Q100" s="80"/>
      <c r="R100" s="80"/>
      <c r="S100" s="80"/>
    </row>
    <row r="101" spans="1:19" ht="43.2" x14ac:dyDescent="0.3">
      <c r="A101" s="80" t="s">
        <v>3056</v>
      </c>
      <c r="B101" s="82" t="s">
        <v>305</v>
      </c>
      <c r="C101" s="119" t="s">
        <v>2841</v>
      </c>
      <c r="D101" s="118" t="s">
        <v>3057</v>
      </c>
      <c r="E101" s="118" t="s">
        <v>3058</v>
      </c>
      <c r="F101" s="118" t="s">
        <v>3059</v>
      </c>
      <c r="G101" s="118" t="s">
        <v>3060</v>
      </c>
      <c r="H101" s="118" t="s">
        <v>3061</v>
      </c>
      <c r="I101" s="119" t="s">
        <v>3062</v>
      </c>
      <c r="J101" s="120">
        <v>45972</v>
      </c>
      <c r="K101" s="120"/>
      <c r="L101" s="141">
        <v>6</v>
      </c>
      <c r="M101" s="80"/>
      <c r="N101" s="80"/>
      <c r="O101" s="80"/>
      <c r="P101" s="80"/>
      <c r="Q101" s="80"/>
      <c r="R101" s="80"/>
      <c r="S101" s="80"/>
    </row>
    <row r="102" spans="1:19" ht="57.6" x14ac:dyDescent="0.3">
      <c r="A102" s="80" t="s">
        <v>3063</v>
      </c>
      <c r="B102" s="83" t="s">
        <v>539</v>
      </c>
      <c r="C102" s="77" t="s">
        <v>3</v>
      </c>
      <c r="D102" s="78" t="s">
        <v>3064</v>
      </c>
      <c r="E102" s="78" t="s">
        <v>3065</v>
      </c>
      <c r="F102" s="78" t="s">
        <v>3066</v>
      </c>
      <c r="G102" s="78" t="s">
        <v>3067</v>
      </c>
      <c r="H102" s="78" t="s">
        <v>3068</v>
      </c>
      <c r="I102" s="77" t="s">
        <v>2999</v>
      </c>
      <c r="J102" s="79">
        <v>45972</v>
      </c>
      <c r="K102" s="79"/>
      <c r="L102" s="141">
        <v>6</v>
      </c>
      <c r="M102" s="80"/>
      <c r="N102" s="80"/>
      <c r="O102" s="80"/>
      <c r="P102" s="80"/>
      <c r="Q102" s="80"/>
      <c r="R102" s="80"/>
      <c r="S102" s="80"/>
    </row>
    <row r="103" spans="1:19" ht="43.2" x14ac:dyDescent="0.3">
      <c r="A103" s="80" t="s">
        <v>3069</v>
      </c>
      <c r="B103" s="83" t="s">
        <v>539</v>
      </c>
      <c r="C103" s="77" t="s">
        <v>3</v>
      </c>
      <c r="D103" s="78" t="s">
        <v>3070</v>
      </c>
      <c r="E103" s="78" t="s">
        <v>3071</v>
      </c>
      <c r="F103" s="78" t="s">
        <v>3072</v>
      </c>
      <c r="G103" s="78" t="s">
        <v>3073</v>
      </c>
      <c r="H103" s="78" t="s">
        <v>3074</v>
      </c>
      <c r="I103" s="77" t="s">
        <v>3075</v>
      </c>
      <c r="J103" s="79">
        <v>45972</v>
      </c>
      <c r="K103" s="79"/>
      <c r="L103" s="141">
        <v>6</v>
      </c>
      <c r="M103" s="80"/>
      <c r="N103" s="80"/>
      <c r="O103" s="80"/>
      <c r="P103" s="80"/>
      <c r="Q103" s="80"/>
      <c r="R103" s="80"/>
      <c r="S103" s="80"/>
    </row>
    <row r="104" spans="1:19" ht="28.8" x14ac:dyDescent="0.3">
      <c r="A104" s="80" t="s">
        <v>3076</v>
      </c>
      <c r="B104" s="83" t="s">
        <v>539</v>
      </c>
      <c r="C104" s="77" t="s">
        <v>2798</v>
      </c>
      <c r="D104" s="78" t="s">
        <v>3077</v>
      </c>
      <c r="E104" s="78" t="s">
        <v>3078</v>
      </c>
      <c r="F104" s="78" t="s">
        <v>3079</v>
      </c>
      <c r="G104" s="78" t="s">
        <v>3080</v>
      </c>
      <c r="H104" s="78" t="s">
        <v>3081</v>
      </c>
      <c r="I104" s="77" t="s">
        <v>3082</v>
      </c>
      <c r="J104" s="79">
        <v>45972</v>
      </c>
      <c r="K104" s="79"/>
      <c r="L104" s="141">
        <v>6</v>
      </c>
      <c r="M104" s="80"/>
      <c r="N104" s="80"/>
      <c r="O104" s="80"/>
      <c r="P104" s="80"/>
      <c r="Q104" s="80"/>
      <c r="R104" s="80"/>
      <c r="S104" s="80"/>
    </row>
    <row r="105" spans="1:19" ht="43.2" x14ac:dyDescent="0.3">
      <c r="A105" s="80" t="s">
        <v>3083</v>
      </c>
      <c r="B105" s="83" t="s">
        <v>539</v>
      </c>
      <c r="C105" s="77" t="s">
        <v>2798</v>
      </c>
      <c r="D105" s="78" t="s">
        <v>3084</v>
      </c>
      <c r="E105" s="78" t="s">
        <v>3085</v>
      </c>
      <c r="F105" s="78" t="s">
        <v>3086</v>
      </c>
      <c r="G105" s="78" t="s">
        <v>3087</v>
      </c>
      <c r="H105" s="78" t="s">
        <v>3088</v>
      </c>
      <c r="I105" s="77" t="s">
        <v>3089</v>
      </c>
      <c r="J105" s="79">
        <v>45972</v>
      </c>
      <c r="K105" s="79"/>
      <c r="L105" s="141">
        <v>6</v>
      </c>
      <c r="M105" s="80"/>
      <c r="N105" s="80"/>
      <c r="O105" s="80"/>
      <c r="P105" s="80"/>
      <c r="Q105" s="80"/>
      <c r="R105" s="80"/>
      <c r="S105" s="80"/>
    </row>
    <row r="106" spans="1:19" ht="43.2" x14ac:dyDescent="0.3">
      <c r="A106" s="80" t="s">
        <v>3090</v>
      </c>
      <c r="B106" s="83" t="s">
        <v>539</v>
      </c>
      <c r="C106" s="77" t="s">
        <v>2798</v>
      </c>
      <c r="D106" s="78" t="s">
        <v>3091</v>
      </c>
      <c r="E106" s="78" t="s">
        <v>3092</v>
      </c>
      <c r="F106" s="78" t="s">
        <v>3093</v>
      </c>
      <c r="G106" s="78" t="s">
        <v>3094</v>
      </c>
      <c r="H106" s="78" t="s">
        <v>3095</v>
      </c>
      <c r="I106" s="77" t="s">
        <v>3096</v>
      </c>
      <c r="J106" s="79">
        <v>45972</v>
      </c>
      <c r="K106" s="79"/>
      <c r="L106" s="141">
        <v>6</v>
      </c>
      <c r="M106" s="80"/>
      <c r="N106" s="80"/>
      <c r="O106" s="80"/>
      <c r="P106" s="80"/>
      <c r="Q106" s="80"/>
      <c r="R106" s="80"/>
      <c r="S106" s="80"/>
    </row>
    <row r="107" spans="1:19" ht="57.6" x14ac:dyDescent="0.3">
      <c r="A107" s="80" t="s">
        <v>3097</v>
      </c>
      <c r="B107" s="83" t="s">
        <v>539</v>
      </c>
      <c r="C107" s="77" t="s">
        <v>3098</v>
      </c>
      <c r="D107" s="78" t="s">
        <v>3099</v>
      </c>
      <c r="E107" s="78" t="s">
        <v>3100</v>
      </c>
      <c r="F107" s="78" t="s">
        <v>3101</v>
      </c>
      <c r="G107" s="78" t="s">
        <v>3102</v>
      </c>
      <c r="H107" s="78" t="s">
        <v>3103</v>
      </c>
      <c r="I107" s="77" t="s">
        <v>3104</v>
      </c>
      <c r="J107" s="79">
        <v>45972</v>
      </c>
      <c r="K107" s="79"/>
      <c r="L107" s="141">
        <v>6</v>
      </c>
      <c r="M107" s="80"/>
      <c r="N107" s="80"/>
      <c r="O107" s="80"/>
      <c r="P107" s="80"/>
      <c r="Q107" s="80"/>
      <c r="R107" s="80"/>
      <c r="S107" s="80"/>
    </row>
    <row r="108" spans="1:19" ht="57.6" x14ac:dyDescent="0.3">
      <c r="A108" s="80" t="s">
        <v>3105</v>
      </c>
      <c r="B108" s="83" t="s">
        <v>539</v>
      </c>
      <c r="C108" s="77" t="s">
        <v>3098</v>
      </c>
      <c r="D108" s="78" t="s">
        <v>3106</v>
      </c>
      <c r="E108" s="78" t="s">
        <v>3107</v>
      </c>
      <c r="F108" s="78" t="s">
        <v>3108</v>
      </c>
      <c r="G108" s="78" t="s">
        <v>3109</v>
      </c>
      <c r="H108" s="78" t="s">
        <v>3110</v>
      </c>
      <c r="I108" s="77" t="s">
        <v>3111</v>
      </c>
      <c r="J108" s="79">
        <v>45972</v>
      </c>
      <c r="K108" s="79"/>
      <c r="L108" s="141">
        <v>6</v>
      </c>
      <c r="M108" s="80"/>
      <c r="N108" s="80"/>
      <c r="O108" s="80"/>
      <c r="P108" s="80"/>
      <c r="Q108" s="80"/>
      <c r="R108" s="80"/>
      <c r="S108" s="80"/>
    </row>
    <row r="109" spans="1:19" ht="57.6" x14ac:dyDescent="0.3">
      <c r="A109" s="80" t="s">
        <v>3112</v>
      </c>
      <c r="B109" s="83" t="s">
        <v>539</v>
      </c>
      <c r="C109" s="77" t="s">
        <v>3098</v>
      </c>
      <c r="D109" s="78" t="s">
        <v>3113</v>
      </c>
      <c r="E109" s="78" t="s">
        <v>3114</v>
      </c>
      <c r="F109" s="78" t="s">
        <v>3115</v>
      </c>
      <c r="G109" s="78" t="s">
        <v>3116</v>
      </c>
      <c r="H109" s="78" t="s">
        <v>3117</v>
      </c>
      <c r="I109" s="77" t="s">
        <v>3118</v>
      </c>
      <c r="J109" s="79">
        <v>45972</v>
      </c>
      <c r="K109" s="79"/>
      <c r="L109" s="141">
        <v>6</v>
      </c>
      <c r="M109" s="80"/>
      <c r="N109" s="80"/>
      <c r="O109" s="80"/>
      <c r="P109" s="80"/>
      <c r="Q109" s="80"/>
      <c r="R109" s="80"/>
      <c r="S109" s="80"/>
    </row>
    <row r="110" spans="1:19" ht="57.6" x14ac:dyDescent="0.3">
      <c r="A110" s="80" t="s">
        <v>3119</v>
      </c>
      <c r="B110" s="83" t="s">
        <v>539</v>
      </c>
      <c r="C110" s="77" t="s">
        <v>3098</v>
      </c>
      <c r="D110" s="78" t="s">
        <v>3120</v>
      </c>
      <c r="E110" s="78" t="s">
        <v>3121</v>
      </c>
      <c r="F110" s="78" t="s">
        <v>3122</v>
      </c>
      <c r="G110" s="78" t="s">
        <v>3123</v>
      </c>
      <c r="H110" s="78" t="s">
        <v>3124</v>
      </c>
      <c r="I110" s="77" t="s">
        <v>3125</v>
      </c>
      <c r="J110" s="79">
        <v>45972</v>
      </c>
      <c r="K110" s="79"/>
      <c r="L110" s="141">
        <v>6</v>
      </c>
      <c r="M110" s="80"/>
      <c r="N110" s="80"/>
      <c r="O110" s="80"/>
      <c r="P110" s="80"/>
      <c r="Q110" s="80"/>
      <c r="R110" s="80"/>
      <c r="S110" s="80"/>
    </row>
    <row r="111" spans="1:19" ht="41.25" customHeight="1" x14ac:dyDescent="0.3">
      <c r="A111" s="80" t="s">
        <v>3126</v>
      </c>
      <c r="B111" s="83" t="s">
        <v>539</v>
      </c>
      <c r="C111" s="77" t="s">
        <v>3098</v>
      </c>
      <c r="D111" s="78" t="s">
        <v>2777</v>
      </c>
      <c r="E111" s="78" t="s">
        <v>3127</v>
      </c>
      <c r="F111" s="78" t="s">
        <v>3128</v>
      </c>
      <c r="G111" s="78" t="s">
        <v>3129</v>
      </c>
      <c r="H111" s="78" t="s">
        <v>3130</v>
      </c>
      <c r="I111" s="77" t="s">
        <v>3131</v>
      </c>
      <c r="J111" s="79">
        <v>45972</v>
      </c>
      <c r="K111" s="79"/>
      <c r="L111" s="141">
        <v>6</v>
      </c>
      <c r="M111" s="80"/>
      <c r="N111" s="80"/>
      <c r="O111" s="80"/>
      <c r="P111" s="80"/>
      <c r="Q111" s="80"/>
      <c r="R111" s="80"/>
      <c r="S111" s="80"/>
    </row>
    <row r="112" spans="1:19" ht="57.6" x14ac:dyDescent="0.3">
      <c r="A112" s="80" t="s">
        <v>3132</v>
      </c>
      <c r="B112" s="83" t="s">
        <v>539</v>
      </c>
      <c r="C112" s="77" t="s">
        <v>2841</v>
      </c>
      <c r="D112" s="78" t="s">
        <v>3133</v>
      </c>
      <c r="E112" s="78" t="s">
        <v>3134</v>
      </c>
      <c r="F112" s="78" t="s">
        <v>3135</v>
      </c>
      <c r="G112" s="78" t="s">
        <v>3136</v>
      </c>
      <c r="H112" s="78" t="s">
        <v>3137</v>
      </c>
      <c r="I112" s="77" t="s">
        <v>3138</v>
      </c>
      <c r="J112" s="79">
        <v>45972</v>
      </c>
      <c r="K112" s="79"/>
      <c r="L112" s="141">
        <v>6</v>
      </c>
      <c r="M112" s="80"/>
      <c r="N112" s="80"/>
      <c r="O112" s="80"/>
      <c r="P112" s="80"/>
      <c r="Q112" s="80"/>
      <c r="R112" s="80"/>
      <c r="S112" s="80"/>
    </row>
    <row r="113" spans="1:19" ht="86.4" x14ac:dyDescent="0.3">
      <c r="A113" s="80" t="s">
        <v>3139</v>
      </c>
      <c r="B113" s="130" t="s">
        <v>167</v>
      </c>
      <c r="C113" s="129" t="s">
        <v>1491</v>
      </c>
      <c r="D113" s="129" t="s">
        <v>3140</v>
      </c>
      <c r="E113" s="129" t="s">
        <v>3141</v>
      </c>
      <c r="F113" s="129" t="s">
        <v>3142</v>
      </c>
      <c r="G113" s="129" t="s">
        <v>3143</v>
      </c>
      <c r="H113" s="129" t="s">
        <v>3144</v>
      </c>
      <c r="I113" s="129" t="s">
        <v>3145</v>
      </c>
      <c r="J113" s="79">
        <v>45972</v>
      </c>
      <c r="K113" s="80"/>
      <c r="L113" s="141"/>
      <c r="M113" s="80"/>
      <c r="N113" s="80"/>
      <c r="O113" s="80"/>
      <c r="P113" s="80"/>
      <c r="Q113" s="80"/>
      <c r="R113" s="80"/>
      <c r="S113" s="80"/>
    </row>
    <row r="114" spans="1:19" ht="72" x14ac:dyDescent="0.3">
      <c r="A114" s="80" t="s">
        <v>3146</v>
      </c>
      <c r="B114" s="130" t="s">
        <v>167</v>
      </c>
      <c r="C114" s="129" t="s">
        <v>1372</v>
      </c>
      <c r="D114" s="129" t="s">
        <v>3147</v>
      </c>
      <c r="E114" s="129" t="s">
        <v>3148</v>
      </c>
      <c r="F114" s="129" t="s">
        <v>3149</v>
      </c>
      <c r="G114" s="129" t="s">
        <v>3150</v>
      </c>
      <c r="H114" s="129" t="s">
        <v>3151</v>
      </c>
      <c r="I114" s="129" t="s">
        <v>3152</v>
      </c>
      <c r="J114" s="79">
        <v>45972</v>
      </c>
      <c r="K114" s="80"/>
      <c r="L114" s="80"/>
      <c r="M114" s="80"/>
      <c r="N114" s="80"/>
      <c r="O114" s="80"/>
      <c r="P114" s="80"/>
      <c r="Q114" s="80"/>
      <c r="R114" s="80"/>
      <c r="S114" s="80"/>
    </row>
    <row r="115" spans="1:19" ht="86.4" x14ac:dyDescent="0.3">
      <c r="A115" s="80" t="s">
        <v>3153</v>
      </c>
      <c r="B115" s="131" t="s">
        <v>219</v>
      </c>
      <c r="C115" s="129" t="s">
        <v>1491</v>
      </c>
      <c r="D115" s="129" t="s">
        <v>73</v>
      </c>
      <c r="E115" s="129" t="s">
        <v>3154</v>
      </c>
      <c r="F115" s="129" t="s">
        <v>3155</v>
      </c>
      <c r="G115" s="129" t="s">
        <v>3156</v>
      </c>
      <c r="H115" s="129" t="s">
        <v>3157</v>
      </c>
      <c r="I115" s="129" t="s">
        <v>3158</v>
      </c>
      <c r="J115" s="79">
        <v>45972</v>
      </c>
      <c r="K115" s="80"/>
      <c r="L115" s="80"/>
      <c r="M115" s="80"/>
      <c r="N115" s="80"/>
      <c r="O115" s="80"/>
      <c r="P115" s="80"/>
      <c r="Q115" s="80"/>
      <c r="R115" s="80"/>
      <c r="S115" s="80"/>
    </row>
    <row r="116" spans="1:19" ht="72" x14ac:dyDescent="0.3">
      <c r="A116" s="80" t="s">
        <v>3159</v>
      </c>
      <c r="B116" s="131" t="s">
        <v>219</v>
      </c>
      <c r="C116" s="129" t="s">
        <v>1491</v>
      </c>
      <c r="D116" s="129" t="s">
        <v>3160</v>
      </c>
      <c r="E116" s="129" t="s">
        <v>3161</v>
      </c>
      <c r="F116" s="129" t="s">
        <v>3162</v>
      </c>
      <c r="G116" s="129" t="s">
        <v>3163</v>
      </c>
      <c r="H116" s="129" t="s">
        <v>3164</v>
      </c>
      <c r="I116" s="129" t="s">
        <v>3165</v>
      </c>
      <c r="J116" s="79">
        <v>45972</v>
      </c>
      <c r="K116" s="80"/>
      <c r="L116" s="80"/>
      <c r="M116" s="80"/>
      <c r="N116" s="80"/>
      <c r="O116" s="80"/>
      <c r="P116" s="80"/>
      <c r="Q116" s="80"/>
      <c r="R116" s="80"/>
      <c r="S116" s="80"/>
    </row>
    <row r="117" spans="1:19" ht="72" x14ac:dyDescent="0.3">
      <c r="A117" s="80" t="s">
        <v>3166</v>
      </c>
      <c r="B117" s="131" t="s">
        <v>219</v>
      </c>
      <c r="C117" s="129" t="s">
        <v>1491</v>
      </c>
      <c r="D117" s="129" t="s">
        <v>3167</v>
      </c>
      <c r="E117" s="129" t="s">
        <v>3168</v>
      </c>
      <c r="F117" s="129" t="s">
        <v>3169</v>
      </c>
      <c r="G117" s="129" t="s">
        <v>3170</v>
      </c>
      <c r="H117" s="129" t="s">
        <v>3171</v>
      </c>
      <c r="I117" s="129" t="s">
        <v>3172</v>
      </c>
      <c r="J117" s="79">
        <v>45972</v>
      </c>
      <c r="K117" s="80"/>
      <c r="L117" s="80"/>
      <c r="M117" s="80"/>
      <c r="N117" s="80"/>
      <c r="O117" s="80"/>
      <c r="P117" s="80"/>
      <c r="Q117" s="80"/>
      <c r="R117" s="80"/>
      <c r="S117" s="80"/>
    </row>
    <row r="118" spans="1:19" ht="72" x14ac:dyDescent="0.3">
      <c r="A118" s="80" t="s">
        <v>3173</v>
      </c>
      <c r="B118" s="131" t="s">
        <v>219</v>
      </c>
      <c r="C118" s="129" t="s">
        <v>1491</v>
      </c>
      <c r="D118" s="129" t="s">
        <v>3174</v>
      </c>
      <c r="E118" s="129" t="s">
        <v>3175</v>
      </c>
      <c r="F118" s="129" t="s">
        <v>3176</v>
      </c>
      <c r="G118" s="129" t="s">
        <v>3177</v>
      </c>
      <c r="H118" s="129" t="s">
        <v>3178</v>
      </c>
      <c r="I118" s="129" t="s">
        <v>3179</v>
      </c>
      <c r="J118" s="79">
        <v>45972</v>
      </c>
      <c r="K118" s="80"/>
      <c r="L118" s="80"/>
      <c r="M118" s="80"/>
      <c r="N118" s="80"/>
      <c r="O118" s="80"/>
      <c r="P118" s="80"/>
      <c r="Q118" s="80"/>
      <c r="R118" s="80"/>
      <c r="S118" s="80"/>
    </row>
    <row r="119" spans="1:19" ht="86.4" x14ac:dyDescent="0.3">
      <c r="A119" s="80" t="s">
        <v>3180</v>
      </c>
      <c r="B119" s="131" t="s">
        <v>219</v>
      </c>
      <c r="C119" s="129" t="s">
        <v>1583</v>
      </c>
      <c r="D119" s="129" t="s">
        <v>3181</v>
      </c>
      <c r="E119" s="129" t="s">
        <v>3182</v>
      </c>
      <c r="F119" s="129" t="s">
        <v>3183</v>
      </c>
      <c r="G119" s="129" t="s">
        <v>3184</v>
      </c>
      <c r="H119" s="129" t="s">
        <v>3185</v>
      </c>
      <c r="I119" s="129" t="s">
        <v>3186</v>
      </c>
      <c r="J119" s="79">
        <v>45972</v>
      </c>
      <c r="K119" s="80"/>
      <c r="L119" s="80"/>
      <c r="M119" s="80"/>
      <c r="N119" s="80"/>
      <c r="O119" s="80"/>
      <c r="P119" s="80"/>
      <c r="Q119" s="80"/>
      <c r="R119" s="80"/>
      <c r="S119" s="80"/>
    </row>
    <row r="120" spans="1:19" ht="57.6" x14ac:dyDescent="0.3">
      <c r="A120" s="80" t="s">
        <v>3187</v>
      </c>
      <c r="B120" s="131" t="s">
        <v>219</v>
      </c>
      <c r="C120" s="129" t="s">
        <v>1491</v>
      </c>
      <c r="D120" s="129" t="s">
        <v>3188</v>
      </c>
      <c r="E120" s="129" t="s">
        <v>3189</v>
      </c>
      <c r="F120" s="129" t="s">
        <v>3190</v>
      </c>
      <c r="G120" s="129" t="s">
        <v>3191</v>
      </c>
      <c r="H120" s="129" t="s">
        <v>3192</v>
      </c>
      <c r="I120" s="129" t="s">
        <v>3193</v>
      </c>
      <c r="J120" s="79">
        <v>45972</v>
      </c>
      <c r="K120" s="80"/>
      <c r="L120" s="80"/>
      <c r="M120" s="80"/>
      <c r="N120" s="80"/>
      <c r="O120" s="80"/>
      <c r="P120" s="80"/>
      <c r="Q120" s="80"/>
      <c r="R120" s="80"/>
      <c r="S120" s="80"/>
    </row>
    <row r="121" spans="1:19" ht="86.4" x14ac:dyDescent="0.3">
      <c r="A121" s="80" t="s">
        <v>3194</v>
      </c>
      <c r="B121" s="132" t="s">
        <v>305</v>
      </c>
      <c r="C121" s="129" t="s">
        <v>3195</v>
      </c>
      <c r="D121" s="129" t="s">
        <v>3196</v>
      </c>
      <c r="E121" s="129" t="s">
        <v>3100</v>
      </c>
      <c r="F121" s="129" t="s">
        <v>3197</v>
      </c>
      <c r="G121" s="129" t="s">
        <v>3198</v>
      </c>
      <c r="H121" s="129" t="s">
        <v>3199</v>
      </c>
      <c r="I121" s="129" t="s">
        <v>3200</v>
      </c>
      <c r="J121" s="79">
        <v>45972</v>
      </c>
      <c r="K121" s="80"/>
      <c r="L121" s="80"/>
      <c r="M121" s="80"/>
      <c r="N121" s="80"/>
      <c r="O121" s="80"/>
      <c r="P121" s="80"/>
      <c r="Q121" s="80"/>
      <c r="R121" s="80"/>
      <c r="S121" s="80"/>
    </row>
    <row r="122" spans="1:19" ht="72" x14ac:dyDescent="0.3">
      <c r="A122" s="80" t="s">
        <v>3201</v>
      </c>
      <c r="B122" s="132" t="s">
        <v>305</v>
      </c>
      <c r="C122" s="129" t="s">
        <v>1372</v>
      </c>
      <c r="D122" s="129" t="s">
        <v>3202</v>
      </c>
      <c r="E122" s="129" t="s">
        <v>3203</v>
      </c>
      <c r="F122" s="129" t="s">
        <v>3204</v>
      </c>
      <c r="G122" s="129" t="s">
        <v>3205</v>
      </c>
      <c r="H122" s="129" t="s">
        <v>3206</v>
      </c>
      <c r="I122" s="129" t="s">
        <v>3207</v>
      </c>
      <c r="J122" s="79">
        <v>45972</v>
      </c>
      <c r="K122" s="80"/>
      <c r="L122" s="80"/>
      <c r="M122" s="80"/>
      <c r="N122" s="80"/>
      <c r="O122" s="80"/>
      <c r="P122" s="80"/>
      <c r="Q122" s="80"/>
      <c r="R122" s="80"/>
      <c r="S122" s="80"/>
    </row>
    <row r="123" spans="1:19" ht="72" x14ac:dyDescent="0.3">
      <c r="A123" s="80" t="s">
        <v>3208</v>
      </c>
      <c r="B123" s="132" t="s">
        <v>305</v>
      </c>
      <c r="C123" s="129" t="s">
        <v>1214</v>
      </c>
      <c r="D123" s="129" t="s">
        <v>3209</v>
      </c>
      <c r="E123" s="129" t="s">
        <v>3210</v>
      </c>
      <c r="F123" s="129" t="s">
        <v>3211</v>
      </c>
      <c r="G123" s="129" t="s">
        <v>3212</v>
      </c>
      <c r="H123" s="129" t="s">
        <v>3213</v>
      </c>
      <c r="I123" s="129" t="s">
        <v>3214</v>
      </c>
      <c r="J123" s="79">
        <v>45972</v>
      </c>
      <c r="K123" s="80"/>
      <c r="L123" s="80"/>
      <c r="M123" s="80"/>
      <c r="N123" s="80"/>
      <c r="O123" s="80"/>
      <c r="P123" s="80"/>
      <c r="Q123" s="80"/>
      <c r="R123" s="80"/>
      <c r="S123" s="80"/>
    </row>
    <row r="124" spans="1:19" ht="72" x14ac:dyDescent="0.3">
      <c r="A124" s="80" t="s">
        <v>3215</v>
      </c>
      <c r="B124" s="132" t="s">
        <v>305</v>
      </c>
      <c r="C124" s="129" t="s">
        <v>1314</v>
      </c>
      <c r="D124" s="129" t="s">
        <v>3216</v>
      </c>
      <c r="E124" s="129" t="s">
        <v>3217</v>
      </c>
      <c r="F124" s="129" t="s">
        <v>3218</v>
      </c>
      <c r="G124" s="129" t="s">
        <v>3219</v>
      </c>
      <c r="H124" s="129" t="s">
        <v>3220</v>
      </c>
      <c r="I124" s="129" t="s">
        <v>3221</v>
      </c>
      <c r="J124" s="79">
        <v>45972</v>
      </c>
      <c r="K124" s="80"/>
      <c r="L124" s="80"/>
      <c r="M124" s="80"/>
      <c r="N124" s="80"/>
      <c r="O124" s="80"/>
      <c r="P124" s="80"/>
      <c r="Q124" s="80"/>
      <c r="R124" s="80"/>
      <c r="S124" s="80"/>
    </row>
    <row r="125" spans="1:19" ht="57.6" x14ac:dyDescent="0.3">
      <c r="A125" s="80" t="s">
        <v>3222</v>
      </c>
      <c r="B125" s="132" t="s">
        <v>305</v>
      </c>
      <c r="C125" s="129" t="s">
        <v>1372</v>
      </c>
      <c r="D125" s="129" t="s">
        <v>3223</v>
      </c>
      <c r="E125" s="129" t="s">
        <v>3224</v>
      </c>
      <c r="F125" s="129" t="s">
        <v>3225</v>
      </c>
      <c r="G125" s="129" t="s">
        <v>3226</v>
      </c>
      <c r="H125" s="129" t="s">
        <v>3227</v>
      </c>
      <c r="I125" s="129" t="s">
        <v>3193</v>
      </c>
      <c r="J125" s="79">
        <v>45972</v>
      </c>
      <c r="K125" s="80"/>
      <c r="L125" s="80"/>
      <c r="M125" s="80"/>
      <c r="N125" s="80"/>
      <c r="O125" s="80"/>
      <c r="P125" s="80"/>
      <c r="Q125" s="80"/>
      <c r="R125" s="80"/>
      <c r="S125" s="80"/>
    </row>
    <row r="126" spans="1:19" ht="72" x14ac:dyDescent="0.3">
      <c r="A126" s="80" t="s">
        <v>3228</v>
      </c>
      <c r="B126" s="133" t="s">
        <v>539</v>
      </c>
      <c r="C126" s="129" t="s">
        <v>1667</v>
      </c>
      <c r="D126" s="129" t="s">
        <v>3229</v>
      </c>
      <c r="E126" s="129" t="s">
        <v>3230</v>
      </c>
      <c r="F126" s="129" t="s">
        <v>3231</v>
      </c>
      <c r="G126" s="129" t="s">
        <v>3232</v>
      </c>
      <c r="H126" s="129" t="s">
        <v>3233</v>
      </c>
      <c r="I126" s="129" t="s">
        <v>3234</v>
      </c>
      <c r="J126" s="79">
        <v>45972</v>
      </c>
      <c r="K126" s="80"/>
      <c r="L126" s="80"/>
      <c r="M126" s="80"/>
      <c r="N126" s="80"/>
      <c r="O126" s="80"/>
      <c r="P126" s="80"/>
      <c r="Q126" s="80"/>
      <c r="R126" s="80"/>
      <c r="S126" s="80"/>
    </row>
    <row r="127" spans="1:19" ht="72" x14ac:dyDescent="0.3">
      <c r="A127" s="80" t="s">
        <v>3235</v>
      </c>
      <c r="B127" s="133" t="s">
        <v>539</v>
      </c>
      <c r="C127" s="129" t="s">
        <v>1222</v>
      </c>
      <c r="D127" s="129" t="s">
        <v>132</v>
      </c>
      <c r="E127" s="129" t="s">
        <v>3236</v>
      </c>
      <c r="F127" s="129" t="s">
        <v>3237</v>
      </c>
      <c r="G127" s="129" t="s">
        <v>3238</v>
      </c>
      <c r="H127" s="129" t="s">
        <v>3239</v>
      </c>
      <c r="I127" s="129" t="s">
        <v>3240</v>
      </c>
      <c r="J127" s="79">
        <v>45972</v>
      </c>
      <c r="K127" s="80"/>
      <c r="L127" s="80"/>
      <c r="M127" s="80"/>
      <c r="N127" s="80"/>
      <c r="O127" s="80"/>
      <c r="P127" s="80"/>
      <c r="Q127" s="80"/>
      <c r="R127" s="80"/>
      <c r="S127" s="80"/>
    </row>
    <row r="128" spans="1:19" ht="43.2" x14ac:dyDescent="0.3">
      <c r="A128" s="80" t="s">
        <v>3241</v>
      </c>
      <c r="B128" s="130" t="s">
        <v>167</v>
      </c>
      <c r="C128" s="129" t="s">
        <v>1491</v>
      </c>
      <c r="D128" s="129" t="s">
        <v>3242</v>
      </c>
      <c r="E128" s="129" t="s">
        <v>3243</v>
      </c>
      <c r="F128" s="129" t="s">
        <v>3244</v>
      </c>
      <c r="G128" s="129" t="s">
        <v>3245</v>
      </c>
      <c r="H128" s="129" t="s">
        <v>3246</v>
      </c>
      <c r="I128" s="129" t="s">
        <v>3247</v>
      </c>
      <c r="J128" s="79">
        <v>45972</v>
      </c>
      <c r="K128" s="80"/>
      <c r="L128" s="80"/>
      <c r="M128" s="80"/>
      <c r="N128" s="80"/>
      <c r="O128" s="80"/>
      <c r="P128" s="80"/>
      <c r="Q128" s="80"/>
      <c r="R128" s="80"/>
      <c r="S128" s="80"/>
    </row>
    <row r="129" spans="1:19" ht="43.2" x14ac:dyDescent="0.3">
      <c r="A129" s="80" t="s">
        <v>3248</v>
      </c>
      <c r="B129" s="131" t="s">
        <v>219</v>
      </c>
      <c r="C129" s="129" t="s">
        <v>1491</v>
      </c>
      <c r="D129" s="129" t="s">
        <v>3249</v>
      </c>
      <c r="E129" s="129" t="s">
        <v>3250</v>
      </c>
      <c r="F129" s="129" t="s">
        <v>3251</v>
      </c>
      <c r="G129" s="129" t="s">
        <v>3252</v>
      </c>
      <c r="H129" s="129" t="s">
        <v>3253</v>
      </c>
      <c r="I129" s="129" t="s">
        <v>3254</v>
      </c>
      <c r="J129" s="79">
        <v>45972</v>
      </c>
      <c r="K129" s="80"/>
      <c r="L129" s="80"/>
      <c r="M129" s="80"/>
      <c r="N129" s="80"/>
      <c r="O129" s="80"/>
      <c r="P129" s="80"/>
      <c r="Q129" s="80"/>
      <c r="R129" s="80"/>
      <c r="S129" s="80"/>
    </row>
    <row r="130" spans="1:19" ht="57.6" x14ac:dyDescent="0.3">
      <c r="A130" s="80" t="s">
        <v>3255</v>
      </c>
      <c r="B130" s="131" t="s">
        <v>219</v>
      </c>
      <c r="C130" s="129" t="s">
        <v>1372</v>
      </c>
      <c r="D130" s="129" t="s">
        <v>3256</v>
      </c>
      <c r="E130" s="129" t="s">
        <v>3257</v>
      </c>
      <c r="F130" s="129" t="s">
        <v>3258</v>
      </c>
      <c r="G130" s="129" t="s">
        <v>3259</v>
      </c>
      <c r="H130" s="129" t="s">
        <v>3260</v>
      </c>
      <c r="I130" s="129" t="s">
        <v>3261</v>
      </c>
      <c r="J130" s="79">
        <v>45972</v>
      </c>
      <c r="K130" s="80"/>
      <c r="L130" s="80"/>
      <c r="M130" s="80"/>
      <c r="N130" s="80"/>
      <c r="O130" s="80"/>
      <c r="P130" s="80"/>
      <c r="Q130" s="80"/>
      <c r="R130" s="80"/>
      <c r="S130" s="80"/>
    </row>
    <row r="131" spans="1:19" ht="43.2" x14ac:dyDescent="0.3">
      <c r="A131" s="80" t="s">
        <v>3262</v>
      </c>
      <c r="B131" s="131" t="s">
        <v>219</v>
      </c>
      <c r="C131" s="129" t="s">
        <v>1372</v>
      </c>
      <c r="D131" s="129" t="s">
        <v>3263</v>
      </c>
      <c r="E131" s="129" t="s">
        <v>2131</v>
      </c>
      <c r="F131" s="129" t="s">
        <v>3264</v>
      </c>
      <c r="G131" s="129" t="s">
        <v>3265</v>
      </c>
      <c r="H131" s="129" t="s">
        <v>3266</v>
      </c>
      <c r="I131" s="129" t="s">
        <v>3267</v>
      </c>
      <c r="J131" s="79">
        <v>45972</v>
      </c>
      <c r="K131" s="80"/>
      <c r="L131" s="80"/>
      <c r="M131" s="80"/>
      <c r="N131" s="80"/>
      <c r="O131" s="80"/>
      <c r="P131" s="80"/>
      <c r="Q131" s="80"/>
      <c r="R131" s="80"/>
      <c r="S131" s="80"/>
    </row>
    <row r="132" spans="1:19" ht="43.2" x14ac:dyDescent="0.3">
      <c r="A132" s="80" t="s">
        <v>3268</v>
      </c>
      <c r="B132" s="132" t="s">
        <v>305</v>
      </c>
      <c r="C132" s="129" t="s">
        <v>1222</v>
      </c>
      <c r="D132" s="129" t="s">
        <v>3269</v>
      </c>
      <c r="E132" s="129" t="s">
        <v>3270</v>
      </c>
      <c r="F132" s="129" t="s">
        <v>3271</v>
      </c>
      <c r="G132" s="129" t="s">
        <v>3272</v>
      </c>
      <c r="H132" s="129" t="s">
        <v>3273</v>
      </c>
      <c r="I132" s="129" t="s">
        <v>3274</v>
      </c>
      <c r="J132" s="79">
        <v>45972</v>
      </c>
      <c r="K132" s="80"/>
      <c r="L132" s="80"/>
      <c r="M132" s="80"/>
      <c r="N132" s="80"/>
      <c r="O132" s="80"/>
      <c r="P132" s="80"/>
      <c r="Q132" s="80"/>
      <c r="R132" s="80"/>
      <c r="S132" s="80"/>
    </row>
    <row r="133" spans="1:19" ht="43.2" x14ac:dyDescent="0.3">
      <c r="A133" s="80" t="s">
        <v>3275</v>
      </c>
      <c r="B133" s="132" t="s">
        <v>305</v>
      </c>
      <c r="C133" s="129" t="s">
        <v>1491</v>
      </c>
      <c r="D133" s="129" t="s">
        <v>3276</v>
      </c>
      <c r="E133" s="129" t="s">
        <v>3277</v>
      </c>
      <c r="F133" s="129" t="s">
        <v>3278</v>
      </c>
      <c r="G133" s="129" t="s">
        <v>3279</v>
      </c>
      <c r="H133" s="129" t="s">
        <v>3280</v>
      </c>
      <c r="I133" s="129" t="s">
        <v>3281</v>
      </c>
      <c r="J133" s="79">
        <v>45972</v>
      </c>
      <c r="K133" s="80"/>
      <c r="L133" s="80"/>
      <c r="M133" s="80"/>
      <c r="N133" s="80"/>
      <c r="O133" s="80"/>
      <c r="P133" s="80"/>
      <c r="Q133" s="80"/>
      <c r="R133" s="80"/>
      <c r="S133" s="80"/>
    </row>
    <row r="134" spans="1:19" ht="43.2" x14ac:dyDescent="0.3">
      <c r="A134" s="80" t="s">
        <v>3282</v>
      </c>
      <c r="B134" s="132" t="s">
        <v>305</v>
      </c>
      <c r="C134" s="129" t="s">
        <v>1222</v>
      </c>
      <c r="D134" s="129" t="s">
        <v>3283</v>
      </c>
      <c r="E134" s="129" t="s">
        <v>3284</v>
      </c>
      <c r="F134" s="129" t="s">
        <v>3285</v>
      </c>
      <c r="G134" s="129" t="s">
        <v>3286</v>
      </c>
      <c r="H134" s="129" t="s">
        <v>3287</v>
      </c>
      <c r="I134" s="129" t="s">
        <v>3288</v>
      </c>
      <c r="J134" s="79">
        <v>45972</v>
      </c>
      <c r="K134" s="80"/>
      <c r="L134" s="80"/>
      <c r="M134" s="80"/>
      <c r="N134" s="80"/>
      <c r="O134" s="80"/>
      <c r="P134" s="80"/>
      <c r="Q134" s="80"/>
      <c r="R134" s="80"/>
      <c r="S134" s="80"/>
    </row>
    <row r="135" spans="1:19" ht="43.2" x14ac:dyDescent="0.3">
      <c r="A135" s="80" t="s">
        <v>3289</v>
      </c>
      <c r="B135" s="132" t="s">
        <v>305</v>
      </c>
      <c r="C135" s="129" t="s">
        <v>2582</v>
      </c>
      <c r="D135" s="129" t="s">
        <v>3290</v>
      </c>
      <c r="E135" s="129" t="s">
        <v>3291</v>
      </c>
      <c r="F135" s="129" t="s">
        <v>3292</v>
      </c>
      <c r="G135" s="129" t="s">
        <v>3293</v>
      </c>
      <c r="H135" s="129" t="s">
        <v>3294</v>
      </c>
      <c r="I135" s="129" t="s">
        <v>3295</v>
      </c>
      <c r="J135" s="79">
        <v>45972</v>
      </c>
      <c r="K135" s="80"/>
      <c r="L135" s="80"/>
      <c r="M135" s="80"/>
      <c r="N135" s="80"/>
      <c r="O135" s="80"/>
      <c r="P135" s="80"/>
      <c r="Q135" s="80"/>
      <c r="R135" s="80"/>
      <c r="S135" s="80"/>
    </row>
  </sheetData>
  <autoFilter ref="A2:S135" xr:uid="{3ECD537D-0642-4010-8073-EA6836482712}"/>
  <mergeCells count="3">
    <mergeCell ref="M1:P1"/>
    <mergeCell ref="Q1:R1"/>
    <mergeCell ref="A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76B3-CA47-4533-8FA6-E8B4367B43A7}">
  <dimension ref="A1:T40"/>
  <sheetViews>
    <sheetView topLeftCell="G1" workbookViewId="0">
      <selection activeCell="I4" sqref="I4"/>
    </sheetView>
  </sheetViews>
  <sheetFormatPr defaultColWidth="9.109375" defaultRowHeight="14.4" x14ac:dyDescent="0.3"/>
  <cols>
    <col min="1" max="1" width="9.5546875" style="1" customWidth="1"/>
    <col min="2" max="2" width="9.44140625" style="1" bestFit="1" customWidth="1"/>
    <col min="3" max="3" width="20.88671875" style="1" customWidth="1"/>
    <col min="4" max="4" width="27.44140625" style="1" customWidth="1"/>
    <col min="5" max="5" width="21.44140625" style="1" customWidth="1"/>
    <col min="6" max="7" width="42.88671875" style="1" customWidth="1"/>
    <col min="8" max="8" width="45.6640625" style="1" customWidth="1"/>
    <col min="9" max="9" width="34.33203125" style="1" customWidth="1"/>
    <col min="10" max="10" width="18.33203125" style="1" bestFit="1" customWidth="1"/>
    <col min="11" max="11" width="11.109375" style="1" bestFit="1" customWidth="1"/>
    <col min="12" max="12" width="13.88671875" style="1" customWidth="1"/>
    <col min="13" max="13" width="11.5546875" style="1" customWidth="1"/>
    <col min="14" max="14" width="38.88671875" style="1" customWidth="1"/>
    <col min="15" max="15" width="8.6640625" style="1" bestFit="1" customWidth="1"/>
    <col min="16" max="16" width="15.33203125" style="1" bestFit="1" customWidth="1"/>
    <col min="17" max="17" width="16.33203125" style="1" bestFit="1" customWidth="1"/>
    <col min="18" max="18" width="12.44140625" style="1" bestFit="1" customWidth="1"/>
    <col min="19" max="19" width="16.33203125" style="1" bestFit="1" customWidth="1"/>
    <col min="20" max="20" width="24.109375" style="1" bestFit="1" customWidth="1"/>
    <col min="21" max="21" width="9.109375" style="1" bestFit="1" customWidth="1"/>
    <col min="22" max="16384" width="9.109375" style="1"/>
  </cols>
  <sheetData>
    <row r="1" spans="1:20" ht="54.75" customHeight="1" x14ac:dyDescent="0.3">
      <c r="A1" s="283" t="s">
        <v>152</v>
      </c>
      <c r="B1" s="283"/>
      <c r="C1" s="283"/>
      <c r="D1" s="283"/>
      <c r="E1" s="283"/>
      <c r="F1" s="283"/>
      <c r="G1" s="283"/>
      <c r="H1" s="283"/>
      <c r="I1" s="283"/>
      <c r="J1" s="283"/>
      <c r="K1" s="283"/>
      <c r="L1" s="283"/>
      <c r="M1" s="283"/>
      <c r="N1" s="280" t="s">
        <v>153</v>
      </c>
      <c r="O1" s="281"/>
      <c r="P1" s="281"/>
      <c r="Q1" s="281"/>
      <c r="R1" s="282" t="s">
        <v>152</v>
      </c>
      <c r="S1" s="282"/>
      <c r="T1" s="72"/>
    </row>
    <row r="2" spans="1:20" ht="36" x14ac:dyDescent="0.3">
      <c r="A2" s="73" t="s">
        <v>60</v>
      </c>
      <c r="B2" s="73" t="s">
        <v>154</v>
      </c>
      <c r="C2" s="73" t="s">
        <v>1</v>
      </c>
      <c r="D2" s="73" t="s">
        <v>61</v>
      </c>
      <c r="E2" s="73" t="s">
        <v>155</v>
      </c>
      <c r="F2" s="73" t="s">
        <v>25</v>
      </c>
      <c r="G2" s="73" t="s">
        <v>156</v>
      </c>
      <c r="H2" s="73" t="s">
        <v>165</v>
      </c>
      <c r="I2" s="73" t="s">
        <v>437</v>
      </c>
      <c r="J2" s="73" t="s">
        <v>3296</v>
      </c>
      <c r="K2" s="73" t="s">
        <v>159</v>
      </c>
      <c r="L2" s="73" t="s">
        <v>438</v>
      </c>
      <c r="M2" s="73" t="s">
        <v>23</v>
      </c>
      <c r="N2" s="74" t="s">
        <v>160</v>
      </c>
      <c r="O2" s="75" t="s">
        <v>161</v>
      </c>
      <c r="P2" s="75" t="s">
        <v>162</v>
      </c>
      <c r="Q2" s="75" t="s">
        <v>163</v>
      </c>
      <c r="R2" s="76" t="s">
        <v>164</v>
      </c>
      <c r="S2" s="76" t="s">
        <v>163</v>
      </c>
      <c r="T2" s="75" t="s">
        <v>166</v>
      </c>
    </row>
    <row r="3" spans="1:20" ht="80.25" customHeight="1" x14ac:dyDescent="0.3">
      <c r="A3" s="80" t="s">
        <v>3297</v>
      </c>
      <c r="B3" s="69" t="s">
        <v>167</v>
      </c>
      <c r="C3" s="72" t="s">
        <v>3298</v>
      </c>
      <c r="D3" s="78" t="s">
        <v>3299</v>
      </c>
      <c r="E3" s="72" t="s">
        <v>3300</v>
      </c>
      <c r="F3" s="80" t="s">
        <v>3301</v>
      </c>
      <c r="G3" s="80" t="s">
        <v>3302</v>
      </c>
      <c r="H3" s="78" t="s">
        <v>3303</v>
      </c>
      <c r="I3" s="127" t="s">
        <v>3304</v>
      </c>
      <c r="J3" s="161">
        <v>327.49200000000002</v>
      </c>
      <c r="K3" s="158">
        <v>45971</v>
      </c>
      <c r="L3" s="158"/>
      <c r="M3" s="157">
        <v>2</v>
      </c>
      <c r="N3" s="147"/>
      <c r="O3" s="139"/>
      <c r="P3" s="139"/>
      <c r="Q3" s="139"/>
      <c r="R3" s="139"/>
      <c r="S3" s="139"/>
      <c r="T3" s="139"/>
    </row>
    <row r="4" spans="1:20" ht="72" x14ac:dyDescent="0.3">
      <c r="A4" s="78" t="s">
        <v>3305</v>
      </c>
      <c r="B4" s="69" t="s">
        <v>167</v>
      </c>
      <c r="C4" s="72" t="s">
        <v>3298</v>
      </c>
      <c r="D4" s="148" t="s">
        <v>3306</v>
      </c>
      <c r="E4" s="72" t="s">
        <v>3300</v>
      </c>
      <c r="F4" s="78" t="s">
        <v>3307</v>
      </c>
      <c r="G4" s="80" t="s">
        <v>3308</v>
      </c>
      <c r="H4" s="78" t="s">
        <v>3309</v>
      </c>
      <c r="I4" s="127" t="s">
        <v>3310</v>
      </c>
      <c r="J4" s="162">
        <v>47.304000000000002</v>
      </c>
      <c r="K4" s="158">
        <v>45941</v>
      </c>
      <c r="L4" s="158"/>
      <c r="M4" s="157">
        <v>2</v>
      </c>
      <c r="N4" s="147"/>
      <c r="O4" s="139"/>
      <c r="P4" s="139"/>
      <c r="Q4" s="139"/>
      <c r="R4" s="139"/>
      <c r="S4" s="139"/>
      <c r="T4" s="139"/>
    </row>
    <row r="5" spans="1:20" ht="72" x14ac:dyDescent="0.3">
      <c r="A5" s="78" t="s">
        <v>3311</v>
      </c>
      <c r="B5" s="69" t="s">
        <v>167</v>
      </c>
      <c r="C5" s="72" t="s">
        <v>3298</v>
      </c>
      <c r="D5" s="149" t="s">
        <v>3312</v>
      </c>
      <c r="E5" s="72" t="s">
        <v>3300</v>
      </c>
      <c r="F5" s="80" t="s">
        <v>3313</v>
      </c>
      <c r="G5" s="80" t="s">
        <v>3314</v>
      </c>
      <c r="H5" s="78" t="s">
        <v>3315</v>
      </c>
      <c r="I5" s="127" t="s">
        <v>3316</v>
      </c>
      <c r="J5" s="162">
        <v>35.020000000000003</v>
      </c>
      <c r="K5" s="158">
        <v>45972</v>
      </c>
      <c r="L5" s="158"/>
      <c r="M5" s="157">
        <v>2</v>
      </c>
      <c r="N5" s="147"/>
      <c r="O5" s="139"/>
      <c r="P5" s="139"/>
      <c r="Q5" s="139"/>
      <c r="R5" s="139"/>
      <c r="S5" s="139"/>
      <c r="T5" s="139"/>
    </row>
    <row r="6" spans="1:20" ht="57.6" x14ac:dyDescent="0.3">
      <c r="A6" s="80" t="s">
        <v>3317</v>
      </c>
      <c r="B6" s="69" t="s">
        <v>167</v>
      </c>
      <c r="C6" s="72" t="s">
        <v>3298</v>
      </c>
      <c r="D6" s="78" t="s">
        <v>3318</v>
      </c>
      <c r="E6" s="72" t="s">
        <v>3300</v>
      </c>
      <c r="F6" s="80" t="s">
        <v>3319</v>
      </c>
      <c r="G6" s="80" t="s">
        <v>3320</v>
      </c>
      <c r="H6" s="78" t="s">
        <v>3321</v>
      </c>
      <c r="I6" s="127" t="s">
        <v>3304</v>
      </c>
      <c r="J6" s="161">
        <v>55.917999999999999</v>
      </c>
      <c r="K6" s="158">
        <v>45972</v>
      </c>
      <c r="L6" s="158"/>
      <c r="M6" s="157">
        <v>2</v>
      </c>
      <c r="N6" s="147"/>
      <c r="O6" s="139"/>
      <c r="P6" s="139"/>
      <c r="Q6" s="139"/>
      <c r="R6" s="139"/>
      <c r="S6" s="139"/>
      <c r="T6" s="139"/>
    </row>
    <row r="7" spans="1:20" ht="72" x14ac:dyDescent="0.3">
      <c r="A7" s="78" t="s">
        <v>3322</v>
      </c>
      <c r="B7" s="69" t="s">
        <v>167</v>
      </c>
      <c r="C7" s="72" t="s">
        <v>3298</v>
      </c>
      <c r="D7" s="148" t="s">
        <v>3323</v>
      </c>
      <c r="E7" s="72" t="s">
        <v>3300</v>
      </c>
      <c r="F7" s="80" t="s">
        <v>3324</v>
      </c>
      <c r="G7" s="80" t="s">
        <v>3325</v>
      </c>
      <c r="H7" s="78" t="s">
        <v>3326</v>
      </c>
      <c r="I7" s="127" t="s">
        <v>3310</v>
      </c>
      <c r="J7" s="161">
        <v>106.404</v>
      </c>
      <c r="K7" s="159">
        <v>45972</v>
      </c>
      <c r="L7" s="159"/>
      <c r="M7" s="157">
        <v>2</v>
      </c>
      <c r="N7" s="147"/>
      <c r="O7" s="139"/>
      <c r="P7" s="139"/>
      <c r="Q7" s="139"/>
      <c r="R7" s="139"/>
      <c r="S7" s="139"/>
      <c r="T7" s="139"/>
    </row>
    <row r="8" spans="1:20" ht="72" x14ac:dyDescent="0.3">
      <c r="A8" s="78" t="s">
        <v>3327</v>
      </c>
      <c r="B8" s="69" t="s">
        <v>167</v>
      </c>
      <c r="C8" s="72" t="s">
        <v>3298</v>
      </c>
      <c r="D8" s="149" t="s">
        <v>3328</v>
      </c>
      <c r="E8" s="72" t="s">
        <v>3300</v>
      </c>
      <c r="F8" s="80" t="s">
        <v>3329</v>
      </c>
      <c r="G8" s="80" t="s">
        <v>3330</v>
      </c>
      <c r="H8" s="78" t="s">
        <v>3331</v>
      </c>
      <c r="I8" s="127" t="s">
        <v>3316</v>
      </c>
      <c r="J8" s="161">
        <v>223.67099999999999</v>
      </c>
      <c r="K8" s="159">
        <v>45972</v>
      </c>
      <c r="L8" s="159"/>
      <c r="M8" s="157">
        <v>2</v>
      </c>
      <c r="N8" s="147"/>
      <c r="O8" s="139"/>
      <c r="P8" s="139"/>
      <c r="Q8" s="139"/>
      <c r="R8" s="139"/>
      <c r="S8" s="139"/>
      <c r="T8" s="139"/>
    </row>
    <row r="9" spans="1:20" ht="57.6" x14ac:dyDescent="0.3">
      <c r="A9" s="80" t="s">
        <v>3332</v>
      </c>
      <c r="B9" s="69" t="s">
        <v>167</v>
      </c>
      <c r="C9" s="72" t="s">
        <v>3298</v>
      </c>
      <c r="D9" s="78" t="s">
        <v>3333</v>
      </c>
      <c r="E9" s="72" t="s">
        <v>3300</v>
      </c>
      <c r="F9" s="78" t="s">
        <v>3334</v>
      </c>
      <c r="G9" s="80" t="s">
        <v>3335</v>
      </c>
      <c r="H9" s="80" t="s">
        <v>3336</v>
      </c>
      <c r="I9" s="127" t="s">
        <v>3337</v>
      </c>
      <c r="J9" s="72"/>
      <c r="K9" s="159">
        <v>45972</v>
      </c>
      <c r="L9" s="159"/>
      <c r="M9" s="157">
        <v>2</v>
      </c>
      <c r="N9" s="139"/>
      <c r="O9" s="139"/>
      <c r="P9" s="139"/>
      <c r="Q9" s="139"/>
      <c r="R9" s="139"/>
      <c r="S9" s="139"/>
      <c r="T9" s="139"/>
    </row>
    <row r="10" spans="1:20" ht="57.6" x14ac:dyDescent="0.3">
      <c r="A10" s="80" t="s">
        <v>3338</v>
      </c>
      <c r="B10" s="69" t="s">
        <v>167</v>
      </c>
      <c r="C10" s="72" t="s">
        <v>3339</v>
      </c>
      <c r="D10" s="148" t="s">
        <v>3340</v>
      </c>
      <c r="E10" s="72" t="s">
        <v>3300</v>
      </c>
      <c r="F10" s="80" t="s">
        <v>3341</v>
      </c>
      <c r="G10" s="80" t="s">
        <v>3342</v>
      </c>
      <c r="H10" s="78" t="s">
        <v>3343</v>
      </c>
      <c r="I10" s="127" t="s">
        <v>3344</v>
      </c>
      <c r="J10" s="72"/>
      <c r="K10" s="159">
        <v>45972</v>
      </c>
      <c r="L10" s="159"/>
      <c r="M10" s="157">
        <v>2</v>
      </c>
      <c r="N10" s="139"/>
      <c r="O10" s="139"/>
      <c r="P10" s="139"/>
      <c r="Q10" s="139"/>
      <c r="R10" s="139"/>
      <c r="S10" s="139"/>
      <c r="T10" s="139"/>
    </row>
    <row r="11" spans="1:20" ht="57.6" x14ac:dyDescent="0.3">
      <c r="A11" s="78" t="s">
        <v>3345</v>
      </c>
      <c r="B11" s="69" t="s">
        <v>167</v>
      </c>
      <c r="C11" s="152" t="s">
        <v>3339</v>
      </c>
      <c r="D11" s="148" t="s">
        <v>3346</v>
      </c>
      <c r="E11" s="72" t="s">
        <v>3300</v>
      </c>
      <c r="F11" s="78" t="s">
        <v>3347</v>
      </c>
      <c r="G11" s="80" t="s">
        <v>3348</v>
      </c>
      <c r="H11" s="80" t="s">
        <v>3349</v>
      </c>
      <c r="I11" s="127" t="s">
        <v>3344</v>
      </c>
      <c r="J11" s="152"/>
      <c r="K11" s="159">
        <v>45972</v>
      </c>
      <c r="L11" s="159"/>
      <c r="M11" s="157">
        <v>2</v>
      </c>
      <c r="N11" s="147"/>
      <c r="O11" s="139"/>
      <c r="P11" s="139"/>
      <c r="Q11" s="139"/>
      <c r="R11" s="139"/>
      <c r="S11" s="139"/>
      <c r="T11" s="139"/>
    </row>
    <row r="12" spans="1:20" ht="57.6" x14ac:dyDescent="0.3">
      <c r="A12" s="78" t="s">
        <v>74</v>
      </c>
      <c r="B12" s="69" t="s">
        <v>167</v>
      </c>
      <c r="C12" s="72" t="s">
        <v>3350</v>
      </c>
      <c r="D12" s="78" t="s">
        <v>75</v>
      </c>
      <c r="E12" s="72" t="s">
        <v>3300</v>
      </c>
      <c r="F12" s="80" t="s">
        <v>3351</v>
      </c>
      <c r="G12" s="80" t="s">
        <v>3352</v>
      </c>
      <c r="H12" s="80" t="s">
        <v>3353</v>
      </c>
      <c r="I12" s="127" t="s">
        <v>3344</v>
      </c>
      <c r="J12" s="72"/>
      <c r="K12" s="159">
        <v>45972</v>
      </c>
      <c r="L12" s="159"/>
      <c r="M12" s="157">
        <v>2</v>
      </c>
      <c r="N12" s="139"/>
      <c r="O12" s="139"/>
      <c r="P12" s="139"/>
      <c r="Q12" s="139"/>
      <c r="R12" s="139"/>
      <c r="S12" s="139"/>
      <c r="T12" s="139"/>
    </row>
    <row r="13" spans="1:20" ht="57.6" x14ac:dyDescent="0.3">
      <c r="A13" s="80" t="s">
        <v>3354</v>
      </c>
      <c r="B13" s="69" t="s">
        <v>167</v>
      </c>
      <c r="C13" s="72" t="s">
        <v>3350</v>
      </c>
      <c r="D13" s="150" t="s">
        <v>3355</v>
      </c>
      <c r="E13" s="72" t="s">
        <v>3300</v>
      </c>
      <c r="F13" s="78" t="s">
        <v>3356</v>
      </c>
      <c r="G13" s="80" t="s">
        <v>3357</v>
      </c>
      <c r="H13" s="80" t="s">
        <v>3358</v>
      </c>
      <c r="I13" s="127" t="s">
        <v>3344</v>
      </c>
      <c r="J13" s="72"/>
      <c r="K13" s="159">
        <v>45972</v>
      </c>
      <c r="L13" s="159"/>
      <c r="M13" s="157">
        <v>2</v>
      </c>
      <c r="N13" s="139"/>
      <c r="O13" s="139"/>
      <c r="P13" s="139"/>
      <c r="Q13" s="139"/>
      <c r="R13" s="139"/>
      <c r="S13" s="139"/>
      <c r="T13" s="139"/>
    </row>
    <row r="14" spans="1:20" ht="57.6" x14ac:dyDescent="0.3">
      <c r="A14" s="157" t="s">
        <v>3359</v>
      </c>
      <c r="B14" s="151" t="s">
        <v>219</v>
      </c>
      <c r="C14" s="152" t="s">
        <v>3360</v>
      </c>
      <c r="D14" s="157" t="s">
        <v>3361</v>
      </c>
      <c r="E14" s="152" t="s">
        <v>3362</v>
      </c>
      <c r="F14" s="78" t="s">
        <v>3363</v>
      </c>
      <c r="G14" s="80" t="s">
        <v>3364</v>
      </c>
      <c r="H14" s="80" t="s">
        <v>3365</v>
      </c>
      <c r="I14" s="127" t="s">
        <v>3366</v>
      </c>
      <c r="J14" s="72"/>
      <c r="K14" s="159">
        <v>45972</v>
      </c>
      <c r="L14" s="159"/>
      <c r="M14" s="157">
        <v>2</v>
      </c>
      <c r="N14" s="139"/>
      <c r="O14" s="139"/>
      <c r="P14" s="139"/>
      <c r="Q14" s="139"/>
      <c r="R14" s="139"/>
      <c r="S14" s="139"/>
      <c r="T14" s="139"/>
    </row>
    <row r="15" spans="1:20" ht="57.6" x14ac:dyDescent="0.3">
      <c r="A15" s="157" t="s">
        <v>3367</v>
      </c>
      <c r="B15" s="151" t="s">
        <v>219</v>
      </c>
      <c r="C15" s="152" t="s">
        <v>3350</v>
      </c>
      <c r="D15" s="157" t="s">
        <v>3368</v>
      </c>
      <c r="E15" s="152" t="s">
        <v>3300</v>
      </c>
      <c r="F15" s="80" t="s">
        <v>3369</v>
      </c>
      <c r="G15" s="80" t="s">
        <v>3370</v>
      </c>
      <c r="H15" s="80" t="s">
        <v>3371</v>
      </c>
      <c r="I15" s="127" t="s">
        <v>3372</v>
      </c>
      <c r="J15" s="72"/>
      <c r="K15" s="159">
        <v>45972</v>
      </c>
      <c r="L15" s="159"/>
      <c r="M15" s="157">
        <v>2</v>
      </c>
      <c r="N15" s="139"/>
      <c r="O15" s="139"/>
      <c r="P15" s="139"/>
      <c r="Q15" s="139"/>
      <c r="R15" s="139"/>
      <c r="S15" s="139"/>
      <c r="T15" s="139"/>
    </row>
    <row r="16" spans="1:20" ht="57.6" x14ac:dyDescent="0.3">
      <c r="A16" s="157" t="s">
        <v>3373</v>
      </c>
      <c r="B16" s="151" t="s">
        <v>219</v>
      </c>
      <c r="C16" s="152" t="s">
        <v>3298</v>
      </c>
      <c r="D16" s="157" t="s">
        <v>3374</v>
      </c>
      <c r="E16" s="152" t="s">
        <v>3300</v>
      </c>
      <c r="F16" s="80" t="s">
        <v>3375</v>
      </c>
      <c r="G16" s="80" t="s">
        <v>3376</v>
      </c>
      <c r="H16" s="80" t="s">
        <v>3377</v>
      </c>
      <c r="I16" s="127" t="s">
        <v>3378</v>
      </c>
      <c r="J16" s="72"/>
      <c r="K16" s="159">
        <v>45972</v>
      </c>
      <c r="L16" s="159"/>
      <c r="M16" s="157">
        <v>2</v>
      </c>
      <c r="N16" s="139"/>
      <c r="O16" s="139"/>
      <c r="P16" s="139"/>
      <c r="Q16" s="139"/>
      <c r="R16" s="139"/>
      <c r="S16" s="139"/>
      <c r="T16" s="139"/>
    </row>
    <row r="17" spans="1:20" ht="57.6" x14ac:dyDescent="0.3">
      <c r="A17" s="157" t="s">
        <v>3379</v>
      </c>
      <c r="B17" s="151" t="s">
        <v>219</v>
      </c>
      <c r="C17" s="152" t="s">
        <v>3298</v>
      </c>
      <c r="D17" s="157" t="s">
        <v>3380</v>
      </c>
      <c r="E17" s="152" t="s">
        <v>3300</v>
      </c>
      <c r="F17" s="80" t="s">
        <v>3381</v>
      </c>
      <c r="G17" s="80" t="s">
        <v>3382</v>
      </c>
      <c r="H17" s="80" t="s">
        <v>3383</v>
      </c>
      <c r="I17" s="127" t="s">
        <v>3384</v>
      </c>
      <c r="J17" s="72"/>
      <c r="K17" s="159">
        <v>45972</v>
      </c>
      <c r="L17" s="159"/>
      <c r="M17" s="157">
        <v>2</v>
      </c>
      <c r="N17" s="139"/>
      <c r="O17" s="139"/>
      <c r="P17" s="139"/>
      <c r="Q17" s="139"/>
      <c r="R17" s="139"/>
      <c r="S17" s="139"/>
      <c r="T17" s="139"/>
    </row>
    <row r="18" spans="1:20" ht="57.6" x14ac:dyDescent="0.3">
      <c r="A18" s="157" t="s">
        <v>3385</v>
      </c>
      <c r="B18" s="151" t="s">
        <v>219</v>
      </c>
      <c r="C18" s="152" t="s">
        <v>3298</v>
      </c>
      <c r="D18" s="157" t="s">
        <v>3386</v>
      </c>
      <c r="E18" s="152" t="s">
        <v>3300</v>
      </c>
      <c r="F18" s="80" t="s">
        <v>3387</v>
      </c>
      <c r="G18" s="80" t="s">
        <v>3388</v>
      </c>
      <c r="H18" s="80" t="s">
        <v>3389</v>
      </c>
      <c r="I18" s="127" t="s">
        <v>3390</v>
      </c>
      <c r="J18" s="72"/>
      <c r="K18" s="80"/>
      <c r="L18" s="80"/>
      <c r="M18" s="157">
        <v>2</v>
      </c>
      <c r="N18" s="139"/>
      <c r="O18" s="139"/>
      <c r="P18" s="139"/>
      <c r="Q18" s="139"/>
      <c r="R18" s="139"/>
      <c r="S18" s="139"/>
      <c r="T18" s="139"/>
    </row>
    <row r="19" spans="1:20" ht="57.6" x14ac:dyDescent="0.3">
      <c r="A19" s="157" t="s">
        <v>3391</v>
      </c>
      <c r="B19" s="151" t="s">
        <v>219</v>
      </c>
      <c r="C19" s="152" t="s">
        <v>3298</v>
      </c>
      <c r="D19" s="157" t="s">
        <v>3392</v>
      </c>
      <c r="E19" s="152" t="s">
        <v>3300</v>
      </c>
      <c r="F19" s="80" t="s">
        <v>3393</v>
      </c>
      <c r="G19" s="80" t="s">
        <v>3394</v>
      </c>
      <c r="H19" s="80" t="s">
        <v>3395</v>
      </c>
      <c r="I19" s="127" t="s">
        <v>3396</v>
      </c>
      <c r="J19" s="72"/>
      <c r="K19" s="80"/>
      <c r="L19" s="80"/>
      <c r="M19" s="157">
        <v>2</v>
      </c>
      <c r="N19" s="139"/>
      <c r="O19" s="139"/>
      <c r="P19" s="139"/>
      <c r="Q19" s="139"/>
      <c r="R19" s="139"/>
      <c r="S19" s="139"/>
      <c r="T19" s="139"/>
    </row>
    <row r="20" spans="1:20" ht="57.6" x14ac:dyDescent="0.3">
      <c r="A20" s="157" t="s">
        <v>3397</v>
      </c>
      <c r="B20" s="151" t="s">
        <v>219</v>
      </c>
      <c r="C20" s="152" t="s">
        <v>3298</v>
      </c>
      <c r="D20" s="157" t="s">
        <v>3398</v>
      </c>
      <c r="E20" s="152" t="s">
        <v>3300</v>
      </c>
      <c r="F20" s="80" t="s">
        <v>3399</v>
      </c>
      <c r="G20" s="80" t="s">
        <v>3400</v>
      </c>
      <c r="H20" s="80" t="s">
        <v>3401</v>
      </c>
      <c r="I20" s="127" t="s">
        <v>3390</v>
      </c>
      <c r="J20" s="72"/>
      <c r="K20" s="80"/>
      <c r="L20" s="80"/>
      <c r="M20" s="157">
        <v>2</v>
      </c>
      <c r="N20" s="139"/>
      <c r="O20" s="139"/>
      <c r="P20" s="139"/>
      <c r="Q20" s="139"/>
      <c r="R20" s="139"/>
      <c r="S20" s="139"/>
      <c r="T20" s="139"/>
    </row>
    <row r="21" spans="1:20" ht="43.2" x14ac:dyDescent="0.3">
      <c r="A21" s="157" t="s">
        <v>76</v>
      </c>
      <c r="B21" s="69" t="s">
        <v>167</v>
      </c>
      <c r="C21" s="72" t="s">
        <v>3402</v>
      </c>
      <c r="D21" s="80" t="s">
        <v>77</v>
      </c>
      <c r="E21" s="152"/>
      <c r="F21" s="80" t="s">
        <v>3403</v>
      </c>
      <c r="G21" s="80" t="s">
        <v>3404</v>
      </c>
      <c r="H21" s="80" t="s">
        <v>3405</v>
      </c>
      <c r="I21" s="127" t="s">
        <v>3406</v>
      </c>
      <c r="J21" s="72"/>
      <c r="K21" s="80"/>
      <c r="L21" s="80"/>
      <c r="M21" s="157">
        <v>2</v>
      </c>
      <c r="N21" s="139"/>
      <c r="O21" s="139"/>
      <c r="P21" s="139"/>
      <c r="Q21" s="139"/>
      <c r="R21" s="139"/>
      <c r="S21" s="139"/>
      <c r="T21" s="139"/>
    </row>
    <row r="22" spans="1:20" ht="28.8" x14ac:dyDescent="0.3">
      <c r="A22" s="157" t="s">
        <v>112</v>
      </c>
      <c r="B22" s="69" t="s">
        <v>167</v>
      </c>
      <c r="C22" s="72" t="s">
        <v>3407</v>
      </c>
      <c r="D22" s="80" t="s">
        <v>113</v>
      </c>
      <c r="E22" s="72"/>
      <c r="F22" s="80" t="s">
        <v>3408</v>
      </c>
      <c r="G22" s="80" t="s">
        <v>3409</v>
      </c>
      <c r="H22" s="80" t="s">
        <v>3410</v>
      </c>
      <c r="I22" s="127" t="s">
        <v>3411</v>
      </c>
      <c r="J22" s="72"/>
      <c r="K22" s="80"/>
      <c r="L22" s="80"/>
      <c r="M22" s="157">
        <v>2</v>
      </c>
      <c r="N22" s="139"/>
      <c r="O22" s="139"/>
      <c r="P22" s="139"/>
      <c r="Q22" s="139"/>
      <c r="R22" s="139"/>
      <c r="S22" s="139"/>
      <c r="T22" s="139"/>
    </row>
    <row r="23" spans="1:20" ht="43.2" x14ac:dyDescent="0.3">
      <c r="A23" s="157" t="s">
        <v>3412</v>
      </c>
      <c r="B23" s="82" t="s">
        <v>305</v>
      </c>
      <c r="C23" s="72" t="s">
        <v>3413</v>
      </c>
      <c r="D23" s="80" t="s">
        <v>3414</v>
      </c>
      <c r="E23" s="152" t="s">
        <v>3415</v>
      </c>
      <c r="F23" s="80" t="s">
        <v>3416</v>
      </c>
      <c r="G23" s="80" t="s">
        <v>3417</v>
      </c>
      <c r="H23" s="80" t="s">
        <v>3418</v>
      </c>
      <c r="I23" s="127" t="s">
        <v>3419</v>
      </c>
      <c r="J23" s="72"/>
      <c r="K23" s="80"/>
      <c r="L23" s="80"/>
      <c r="M23" s="157">
        <v>2</v>
      </c>
      <c r="N23" s="139"/>
      <c r="O23" s="139"/>
      <c r="P23" s="139"/>
      <c r="Q23" s="139"/>
      <c r="R23" s="139"/>
      <c r="S23" s="139"/>
      <c r="T23" s="139"/>
    </row>
    <row r="24" spans="1:20" ht="43.2" x14ac:dyDescent="0.3">
      <c r="A24" s="157" t="s">
        <v>92</v>
      </c>
      <c r="B24" s="151" t="s">
        <v>219</v>
      </c>
      <c r="C24" s="72" t="s">
        <v>3407</v>
      </c>
      <c r="D24" s="80" t="s">
        <v>93</v>
      </c>
      <c r="E24" s="152" t="s">
        <v>3415</v>
      </c>
      <c r="F24" s="80" t="s">
        <v>3420</v>
      </c>
      <c r="G24" s="80" t="s">
        <v>3421</v>
      </c>
      <c r="H24" s="80" t="s">
        <v>3422</v>
      </c>
      <c r="I24" s="127" t="s">
        <v>3423</v>
      </c>
      <c r="J24" s="72"/>
      <c r="K24" s="80"/>
      <c r="L24" s="80"/>
      <c r="M24" s="157">
        <v>2</v>
      </c>
      <c r="N24" s="139"/>
      <c r="O24" s="139"/>
      <c r="P24" s="139"/>
      <c r="Q24" s="139"/>
      <c r="R24" s="139"/>
      <c r="S24" s="139"/>
      <c r="T24" s="139"/>
    </row>
    <row r="25" spans="1:20" ht="31.2" x14ac:dyDescent="0.3">
      <c r="A25" s="157" t="s">
        <v>3424</v>
      </c>
      <c r="B25" s="83" t="s">
        <v>539</v>
      </c>
      <c r="C25" s="152" t="s">
        <v>3425</v>
      </c>
      <c r="D25" s="157" t="s">
        <v>3426</v>
      </c>
      <c r="E25" s="152" t="s">
        <v>3415</v>
      </c>
      <c r="F25" s="80" t="s">
        <v>3427</v>
      </c>
      <c r="G25" s="80" t="s">
        <v>3428</v>
      </c>
      <c r="H25" s="80" t="s">
        <v>3429</v>
      </c>
      <c r="I25" s="127" t="s">
        <v>3430</v>
      </c>
      <c r="J25" s="72"/>
      <c r="K25" s="80"/>
      <c r="L25" s="80"/>
      <c r="M25" s="157">
        <v>2</v>
      </c>
      <c r="N25" s="139"/>
      <c r="O25" s="139"/>
      <c r="P25" s="139"/>
      <c r="Q25" s="139"/>
      <c r="R25" s="139"/>
      <c r="S25" s="139"/>
      <c r="T25" s="139"/>
    </row>
    <row r="26" spans="1:20" ht="31.2" x14ac:dyDescent="0.3">
      <c r="A26" s="157" t="s">
        <v>3431</v>
      </c>
      <c r="B26" s="82" t="s">
        <v>305</v>
      </c>
      <c r="C26" s="72" t="s">
        <v>3432</v>
      </c>
      <c r="D26" s="157" t="s">
        <v>3433</v>
      </c>
      <c r="E26" s="152" t="s">
        <v>3415</v>
      </c>
      <c r="F26" s="80" t="s">
        <v>3434</v>
      </c>
      <c r="G26" s="80" t="s">
        <v>3435</v>
      </c>
      <c r="H26" s="80" t="s">
        <v>3436</v>
      </c>
      <c r="I26" s="127" t="s">
        <v>3437</v>
      </c>
      <c r="J26" s="72"/>
      <c r="K26" s="80"/>
      <c r="L26" s="80"/>
      <c r="M26" s="157">
        <v>2</v>
      </c>
      <c r="N26" s="139"/>
      <c r="O26" s="139"/>
      <c r="P26" s="139"/>
      <c r="Q26" s="139"/>
      <c r="R26" s="139"/>
      <c r="S26" s="139"/>
      <c r="T26" s="139"/>
    </row>
    <row r="27" spans="1:20" ht="31.2" x14ac:dyDescent="0.3">
      <c r="A27" s="157" t="s">
        <v>3438</v>
      </c>
      <c r="B27" s="82" t="s">
        <v>305</v>
      </c>
      <c r="C27" s="152" t="s">
        <v>3425</v>
      </c>
      <c r="D27" s="157" t="s">
        <v>3439</v>
      </c>
      <c r="E27" s="152" t="s">
        <v>3415</v>
      </c>
      <c r="F27" s="80" t="s">
        <v>3440</v>
      </c>
      <c r="G27" s="80" t="s">
        <v>3441</v>
      </c>
      <c r="H27" s="80" t="s">
        <v>3442</v>
      </c>
      <c r="I27" s="127" t="s">
        <v>3443</v>
      </c>
      <c r="J27" s="72"/>
      <c r="K27" s="80"/>
      <c r="L27" s="80"/>
      <c r="M27" s="157">
        <v>2</v>
      </c>
      <c r="N27" s="139"/>
      <c r="O27" s="139"/>
      <c r="P27" s="139"/>
      <c r="Q27" s="139"/>
      <c r="R27" s="139"/>
      <c r="S27" s="139"/>
      <c r="T27" s="139"/>
    </row>
    <row r="28" spans="1:20" ht="31.2" x14ac:dyDescent="0.3">
      <c r="A28" s="157" t="s">
        <v>106</v>
      </c>
      <c r="B28" s="82" t="s">
        <v>305</v>
      </c>
      <c r="C28" s="152" t="s">
        <v>3444</v>
      </c>
      <c r="D28" s="157" t="s">
        <v>107</v>
      </c>
      <c r="E28" s="152" t="s">
        <v>3415</v>
      </c>
      <c r="F28" s="80" t="s">
        <v>3445</v>
      </c>
      <c r="G28" s="80" t="s">
        <v>3446</v>
      </c>
      <c r="H28" s="80" t="s">
        <v>3447</v>
      </c>
      <c r="I28" s="127" t="s">
        <v>3448</v>
      </c>
      <c r="J28" s="72"/>
      <c r="K28" s="80"/>
      <c r="L28" s="80"/>
      <c r="M28" s="157">
        <v>2</v>
      </c>
      <c r="N28" s="139"/>
      <c r="O28" s="139"/>
      <c r="P28" s="139"/>
      <c r="Q28" s="139"/>
      <c r="R28" s="139"/>
      <c r="S28" s="139"/>
      <c r="T28" s="139"/>
    </row>
    <row r="29" spans="1:20" ht="43.2" x14ac:dyDescent="0.3">
      <c r="A29" s="157" t="s">
        <v>3449</v>
      </c>
      <c r="B29" s="82" t="s">
        <v>305</v>
      </c>
      <c r="C29" s="152" t="s">
        <v>3425</v>
      </c>
      <c r="D29" s="157" t="s">
        <v>3450</v>
      </c>
      <c r="E29" s="152" t="s">
        <v>3415</v>
      </c>
      <c r="F29" s="80" t="s">
        <v>3451</v>
      </c>
      <c r="G29" s="80" t="s">
        <v>3452</v>
      </c>
      <c r="H29" s="80" t="s">
        <v>3453</v>
      </c>
      <c r="I29" s="127" t="s">
        <v>3443</v>
      </c>
      <c r="J29" s="72"/>
      <c r="K29" s="80"/>
      <c r="L29" s="80"/>
      <c r="M29" s="157">
        <v>2</v>
      </c>
      <c r="N29" s="139"/>
      <c r="O29" s="139"/>
      <c r="P29" s="139"/>
      <c r="Q29" s="139"/>
      <c r="R29" s="139"/>
      <c r="S29" s="139"/>
      <c r="T29" s="139"/>
    </row>
    <row r="30" spans="1:20" ht="43.2" x14ac:dyDescent="0.3">
      <c r="A30" s="157" t="s">
        <v>114</v>
      </c>
      <c r="B30" s="151" t="s">
        <v>219</v>
      </c>
      <c r="C30" s="160" t="s">
        <v>3444</v>
      </c>
      <c r="D30" s="150" t="s">
        <v>115</v>
      </c>
      <c r="E30" s="152" t="s">
        <v>3415</v>
      </c>
      <c r="F30" s="80" t="s">
        <v>3454</v>
      </c>
      <c r="G30" s="80" t="s">
        <v>3455</v>
      </c>
      <c r="H30" s="80" t="s">
        <v>3456</v>
      </c>
      <c r="I30" s="127"/>
      <c r="J30" s="72"/>
      <c r="K30" s="80"/>
      <c r="L30" s="80"/>
      <c r="M30" s="157">
        <v>2</v>
      </c>
      <c r="N30" s="139"/>
      <c r="O30" s="139"/>
      <c r="P30" s="139"/>
      <c r="Q30" s="139"/>
      <c r="R30" s="139"/>
      <c r="S30" s="139"/>
      <c r="T30" s="139"/>
    </row>
    <row r="31" spans="1:20" ht="43.2" x14ac:dyDescent="0.3">
      <c r="A31" s="157" t="s">
        <v>78</v>
      </c>
      <c r="B31" s="151" t="s">
        <v>219</v>
      </c>
      <c r="C31" s="160" t="s">
        <v>3457</v>
      </c>
      <c r="D31" s="80" t="s">
        <v>79</v>
      </c>
      <c r="E31" s="152" t="s">
        <v>3415</v>
      </c>
      <c r="F31" s="80" t="s">
        <v>3458</v>
      </c>
      <c r="G31" s="80" t="s">
        <v>3459</v>
      </c>
      <c r="H31" s="80" t="s">
        <v>3460</v>
      </c>
      <c r="I31" s="163" t="s">
        <v>3461</v>
      </c>
      <c r="J31" s="72"/>
      <c r="K31" s="80"/>
      <c r="L31" s="80"/>
      <c r="M31" s="157">
        <v>2</v>
      </c>
      <c r="N31" s="139"/>
      <c r="O31" s="139"/>
      <c r="P31" s="139"/>
      <c r="Q31" s="139"/>
      <c r="R31" s="139"/>
      <c r="S31" s="139"/>
      <c r="T31" s="139"/>
    </row>
    <row r="32" spans="1:20" ht="15.6" x14ac:dyDescent="0.3">
      <c r="A32" s="71"/>
      <c r="B32" s="71"/>
      <c r="C32" s="71"/>
      <c r="D32" s="71"/>
      <c r="E32" s="71"/>
      <c r="F32" s="71"/>
      <c r="G32" s="71"/>
      <c r="H32" s="71"/>
      <c r="I32" s="71"/>
      <c r="M32" s="71"/>
    </row>
    <row r="33" spans="1:13" ht="15.6" x14ac:dyDescent="0.3">
      <c r="A33" s="71"/>
      <c r="B33" s="71"/>
      <c r="C33" s="71"/>
      <c r="D33" s="71"/>
      <c r="E33" s="71"/>
      <c r="F33" s="71"/>
      <c r="G33" s="71"/>
      <c r="H33" s="71"/>
      <c r="I33" s="71"/>
      <c r="M33" s="71"/>
    </row>
    <row r="34" spans="1:13" ht="15.6" x14ac:dyDescent="0.3">
      <c r="A34" s="71"/>
      <c r="B34" s="71"/>
      <c r="C34" s="71"/>
      <c r="D34" s="71"/>
      <c r="E34" s="71"/>
      <c r="F34" s="71"/>
      <c r="G34" s="71"/>
      <c r="H34" s="71"/>
      <c r="I34" s="71"/>
      <c r="M34" s="71"/>
    </row>
    <row r="35" spans="1:13" ht="15.6" x14ac:dyDescent="0.3">
      <c r="A35" s="71"/>
      <c r="B35" s="71"/>
      <c r="C35" s="71"/>
      <c r="D35" s="71"/>
      <c r="E35" s="71"/>
      <c r="F35" s="71"/>
      <c r="G35" s="71"/>
      <c r="H35" s="71"/>
      <c r="I35" s="71"/>
    </row>
    <row r="36" spans="1:13" ht="15.6" x14ac:dyDescent="0.3">
      <c r="A36" s="71"/>
      <c r="B36" s="71"/>
      <c r="C36" s="71"/>
      <c r="D36" s="71"/>
      <c r="E36" s="71"/>
      <c r="F36" s="71"/>
      <c r="G36" s="71"/>
      <c r="H36" s="71"/>
      <c r="I36" s="71"/>
    </row>
    <row r="37" spans="1:13" ht="15.6" x14ac:dyDescent="0.3">
      <c r="A37" s="71"/>
      <c r="B37" s="71"/>
      <c r="C37" s="71"/>
      <c r="D37" s="71"/>
      <c r="E37" s="71"/>
      <c r="F37" s="71"/>
      <c r="G37" s="71"/>
      <c r="H37" s="71"/>
      <c r="I37" s="71"/>
    </row>
    <row r="38" spans="1:13" ht="15.6" x14ac:dyDescent="0.3">
      <c r="A38" s="71"/>
      <c r="B38" s="71"/>
      <c r="C38" s="71"/>
      <c r="D38" s="71"/>
      <c r="E38" s="71"/>
      <c r="F38" s="71"/>
      <c r="G38" s="71"/>
      <c r="H38" s="71"/>
      <c r="I38" s="71"/>
    </row>
    <row r="39" spans="1:13" ht="15.6" x14ac:dyDescent="0.3">
      <c r="A39" s="71"/>
      <c r="B39" s="71"/>
      <c r="C39" s="71"/>
      <c r="D39" s="71"/>
      <c r="E39" s="71"/>
      <c r="F39" s="71"/>
      <c r="G39" s="71"/>
      <c r="H39" s="71"/>
      <c r="I39" s="71"/>
    </row>
    <row r="40" spans="1:13" ht="15.6" x14ac:dyDescent="0.3">
      <c r="A40" s="71"/>
      <c r="B40" s="71"/>
      <c r="C40" s="71"/>
      <c r="D40" s="71"/>
      <c r="E40" s="71"/>
      <c r="F40" s="71"/>
      <c r="G40" s="71"/>
      <c r="H40" s="71"/>
      <c r="I40" s="71"/>
    </row>
  </sheetData>
  <mergeCells count="3">
    <mergeCell ref="N1:Q1"/>
    <mergeCell ref="R1:S1"/>
    <mergeCell ref="A1:M1"/>
  </mergeCells>
  <dataValidations count="1">
    <dataValidation allowBlank="1" showInputMessage="1" showErrorMessage="1" sqref="M3:M34" xr:uid="{C4484371-5BE6-4EB6-9127-96FDE9920CA2}"/>
  </dataValidations>
  <pageMargins left="0.7" right="0.7" top="0.75" bottom="0.75" header="0.3" footer="0.3"/>
</worksheet>
</file>

<file path=docMetadata/LabelInfo.xml><?xml version="1.0" encoding="utf-8"?>
<clbl:labelList xmlns:clbl="http://schemas.microsoft.com/office/2020/mipLabelMetadata">
  <clbl:label id="{b58744cf-4618-45d1-9440-fa034f8c50bf}" enabled="0" method="" siteId="{b58744cf-4618-45d1-9440-fa034f8c50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Legend</vt:lpstr>
      <vt:lpstr>Old</vt:lpstr>
      <vt:lpstr>WP</vt:lpstr>
      <vt:lpstr>Planning</vt:lpstr>
      <vt:lpstr>Summary</vt:lpstr>
      <vt:lpstr>Security_Analysis</vt:lpstr>
      <vt:lpstr>Performance_Summary</vt:lpstr>
      <vt:lpstr>Performance_Analysis</vt:lpstr>
      <vt:lpstr>UI-UX_Analysis</vt:lpstr>
      <vt:lpstr>Bugs&amp;CodeQuality_Analysis</vt:lpstr>
      <vt:lpstr>AWS_Audit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Nourhan Rasheed</dc:creator>
  <cp:keywords/>
  <dc:description/>
  <cp:lastModifiedBy>Nourhan Rasheed</cp:lastModifiedBy>
  <cp:revision>2</cp:revision>
  <dcterms:created xsi:type="dcterms:W3CDTF">2025-11-02T11:20:06Z</dcterms:created>
  <dcterms:modified xsi:type="dcterms:W3CDTF">2025-11-12T13:53:44Z</dcterms:modified>
  <cp:category/>
  <cp:contentStatus/>
</cp:coreProperties>
</file>